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emep1-my.sharepoint.com/personal/agbo0101012600_agbogroup_com/Documents/Documentos/Douglas Brito/"/>
    </mc:Choice>
  </mc:AlternateContent>
  <xr:revisionPtr revIDLastSave="0" documentId="8_{F5913215-3711-451C-A2E4-8B99E4DD46FA}" xr6:coauthVersionLast="47" xr6:coauthVersionMax="47" xr10:uidLastSave="{00000000-0000-0000-0000-000000000000}"/>
  <bookViews>
    <workbookView xWindow="-120" yWindow="-120" windowWidth="29040" windowHeight="15840" tabRatio="717" xr2:uid="{00000000-000D-0000-FFFF-FFFF00000000}"/>
  </bookViews>
  <sheets>
    <sheet name="SCA" sheetId="5" r:id="rId1"/>
    <sheet name="DEPTO (Pesquisável)" sheetId="6" r:id="rId2"/>
  </sheets>
  <definedNames>
    <definedName name="_xlnm._FilterDatabase" localSheetId="1" hidden="1">'DEPTO (Pesquisável)'!$B$2:$G$2</definedName>
    <definedName name="_xlnm._FilterDatabase" localSheetId="0" hidden="1">SCA!#REF!</definedName>
    <definedName name="_xlnm.Print_Area" localSheetId="0">SCA!$C$2:$AN$74</definedName>
    <definedName name="_xlnm.Criteria" localSheetId="0">SCA!#REF!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4" i="5" l="1"/>
  <c r="R24" i="5"/>
  <c r="AJ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Celso Moreira Alves</author>
    <author>mariangela marques</author>
    <author>Celso</author>
  </authors>
  <commentList>
    <comment ref="AL7" authorId="0" shapeId="0" xr:uid="{00000000-0006-0000-0000-000001000000}">
      <text>
        <r>
          <rPr>
            <b/>
            <sz val="9"/>
            <color indexed="56"/>
            <rFont val="Segoe UI"/>
            <family val="2"/>
          </rPr>
          <t xml:space="preserve">Estado civil do trabalhador, conforme opções abaixo:
</t>
        </r>
        <r>
          <rPr>
            <sz val="9"/>
            <color indexed="56"/>
            <rFont val="Segoe UI"/>
            <family val="2"/>
          </rPr>
          <t>C=Casado(a)
D=Divorciado(a)
Q=Separado(a)
S=Solteiro(a)
V=Viúvo(a)</t>
        </r>
        <r>
          <rPr>
            <b/>
            <sz val="9"/>
            <color indexed="56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** NÃO EXITEM OUTROS ESTADOS CIVIS PARA A LEI **
</t>
        </r>
        <r>
          <rPr>
            <b/>
            <sz val="12"/>
            <color indexed="53"/>
            <rFont val="Segoe UI"/>
            <family val="2"/>
          </rPr>
          <t xml:space="preserve">** </t>
        </r>
        <r>
          <rPr>
            <b/>
            <u val="double"/>
            <sz val="12"/>
            <color indexed="53"/>
            <rFont val="Segoe UI"/>
            <family val="2"/>
          </rPr>
          <t>UNIÃO ESTÁVEL NÃO É CASAMENTO</t>
        </r>
        <r>
          <rPr>
            <b/>
            <sz val="12"/>
            <color indexed="53"/>
            <rFont val="Segoe UI"/>
            <family val="2"/>
          </rPr>
          <t xml:space="preserve"> **</t>
        </r>
      </text>
    </comment>
    <comment ref="F19" authorId="0" shapeId="0" xr:uid="{00000000-0006-0000-0000-000002000000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Indígena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Branca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Negra</t>
        </r>
        <r>
          <rPr>
            <b/>
            <sz val="9"/>
            <color indexed="56"/>
            <rFont val="Segoe UI"/>
            <family val="2"/>
          </rPr>
          <t xml:space="preserve">
6=</t>
        </r>
        <r>
          <rPr>
            <sz val="9"/>
            <color indexed="56"/>
            <rFont val="Segoe UI"/>
            <family val="2"/>
          </rPr>
          <t>Amarela</t>
        </r>
        <r>
          <rPr>
            <b/>
            <sz val="9"/>
            <color indexed="56"/>
            <rFont val="Segoe UI"/>
            <family val="2"/>
          </rPr>
          <t xml:space="preserve">
8=</t>
        </r>
        <r>
          <rPr>
            <sz val="9"/>
            <color indexed="56"/>
            <rFont val="Segoe UI"/>
            <family val="2"/>
          </rPr>
          <t>Parda</t>
        </r>
        <r>
          <rPr>
            <b/>
            <sz val="9"/>
            <color indexed="56"/>
            <rFont val="Segoe UI"/>
            <family val="2"/>
          </rPr>
          <t xml:space="preserve">
9=</t>
        </r>
        <r>
          <rPr>
            <sz val="9"/>
            <color indexed="56"/>
            <rFont val="Segoe UI"/>
            <family val="2"/>
          </rPr>
          <t>Não informado</t>
        </r>
      </text>
    </comment>
    <comment ref="J19" authorId="1" shapeId="0" xr:uid="{00000000-0006-0000-0000-000003000000}">
      <text>
        <r>
          <rPr>
            <b/>
            <sz val="9"/>
            <color indexed="56"/>
            <rFont val="Segoe UI"/>
            <family val="2"/>
          </rPr>
          <t>0=</t>
        </r>
        <r>
          <rPr>
            <sz val="9"/>
            <color indexed="56"/>
            <rFont val="Segoe UI"/>
            <family val="2"/>
          </rPr>
          <t xml:space="preserve">Não é portador de deficiência
</t>
        </r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Física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Auditiva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Visual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Intelectual(Mental)</t>
        </r>
        <r>
          <rPr>
            <b/>
            <sz val="9"/>
            <color indexed="56"/>
            <rFont val="Segoe UI"/>
            <family val="2"/>
          </rPr>
          <t xml:space="preserve">
5=</t>
        </r>
        <r>
          <rPr>
            <sz val="9"/>
            <color indexed="56"/>
            <rFont val="Segoe UI"/>
            <family val="2"/>
          </rPr>
          <t>Múltipla</t>
        </r>
        <r>
          <rPr>
            <b/>
            <sz val="9"/>
            <color indexed="56"/>
            <rFont val="Segoe UI"/>
            <family val="2"/>
          </rPr>
          <t xml:space="preserve">
6=</t>
        </r>
        <r>
          <rPr>
            <sz val="9"/>
            <color indexed="56"/>
            <rFont val="Segoe UI"/>
            <family val="2"/>
          </rPr>
          <t>Reabilitado</t>
        </r>
      </text>
    </comment>
    <comment ref="T19" authorId="1" shapeId="0" xr:uid="{00000000-0006-0000-0000-000004000000}">
      <text>
        <r>
          <rPr>
            <sz val="9"/>
            <color indexed="56"/>
            <rFont val="Segoe UI"/>
            <family val="2"/>
          </rPr>
          <t xml:space="preserve">Informar a data que será necessário renovar o ASO de acordo com o </t>
        </r>
        <r>
          <rPr>
            <b/>
            <sz val="9"/>
            <color indexed="56"/>
            <rFont val="Segoe UI"/>
            <family val="2"/>
          </rPr>
          <t>PCMSO</t>
        </r>
      </text>
    </comment>
    <comment ref="X19" authorId="0" shapeId="0" xr:uid="{00000000-0006-0000-0000-000005000000}">
      <text>
        <r>
          <rPr>
            <b/>
            <sz val="9"/>
            <color indexed="56"/>
            <rFont val="Segoe UI"/>
            <family val="2"/>
          </rPr>
          <t>001=</t>
        </r>
        <r>
          <rPr>
            <sz val="9"/>
            <color indexed="56"/>
            <rFont val="Segoe UI"/>
            <family val="2"/>
          </rPr>
          <t>Brasil</t>
        </r>
        <r>
          <rPr>
            <b/>
            <sz val="9"/>
            <color indexed="56"/>
            <rFont val="Segoe UI"/>
            <family val="2"/>
          </rPr>
          <t xml:space="preserve">
</t>
        </r>
      </text>
    </comment>
    <comment ref="Z19" authorId="1" shapeId="0" xr:uid="{8E218047-CBFA-432C-95B1-84F2A7797895}">
      <text>
        <r>
          <rPr>
            <sz val="9"/>
            <color indexed="56"/>
            <rFont val="Segoe UI"/>
            <family val="2"/>
          </rPr>
          <t xml:space="preserve">Somente para agências do Banco do </t>
        </r>
        <r>
          <rPr>
            <b/>
            <sz val="9"/>
            <color indexed="56"/>
            <rFont val="Segoe UI"/>
            <family val="2"/>
          </rPr>
          <t>Bradesco (237)</t>
        </r>
        <r>
          <rPr>
            <sz val="9"/>
            <color indexed="56"/>
            <rFont val="Segoe UI"/>
            <family val="2"/>
          </rPr>
          <t xml:space="preserve"> é obrigatório informar o DÍGITO verificador da agência sem usa o hífen</t>
        </r>
      </text>
    </comment>
    <comment ref="AC19" authorId="1" shapeId="0" xr:uid="{65B6A489-D015-4A84-B880-17058A90A66A}">
      <text>
        <r>
          <rPr>
            <b/>
            <sz val="9"/>
            <color indexed="56"/>
            <rFont val="Segoe UI"/>
            <family val="2"/>
          </rPr>
          <t xml:space="preserve">Formato Padrão (Campo com 12 caracter)
</t>
        </r>
        <r>
          <rPr>
            <b/>
            <i/>
            <sz val="9"/>
            <color indexed="56"/>
            <rFont val="Segoe UI"/>
            <family val="2"/>
          </rPr>
          <t>** Atenção ** Não utilizar o hífen**</t>
        </r>
        <r>
          <rPr>
            <b/>
            <sz val="9"/>
            <color indexed="56"/>
            <rFont val="Segoe UI"/>
            <family val="2"/>
          </rPr>
          <t xml:space="preserve">
</t>
        </r>
        <r>
          <rPr>
            <sz val="9"/>
            <color indexed="56"/>
            <rFont val="Segoe UI"/>
            <family val="2"/>
          </rPr>
          <t>Todas as contas deverão conter 11 caracteres, se o dígito for "X" preencher com zeros a esquerda) + dígito sem hífen</t>
        </r>
      </text>
    </comment>
    <comment ref="AH19" authorId="0" shapeId="0" xr:uid="{00000000-0006-0000-0000-000006000000}">
      <text>
        <r>
          <rPr>
            <b/>
            <sz val="9"/>
            <color indexed="56"/>
            <rFont val="Segoe UI"/>
            <family val="2"/>
          </rPr>
          <t xml:space="preserve">** Formato Padrão **
</t>
        </r>
        <r>
          <rPr>
            <sz val="9"/>
            <color indexed="56"/>
            <rFont val="Segoe UI"/>
            <family val="2"/>
          </rPr>
          <t>101 Empregado Geral
103 Aprendiz</t>
        </r>
      </text>
    </comment>
    <comment ref="R22" authorId="0" shapeId="0" xr:uid="{00000000-0006-0000-0000-000007000000}">
      <text>
        <r>
          <rPr>
            <b/>
            <sz val="8"/>
            <color indexed="56"/>
            <rFont val="Tahoma"/>
            <family val="2"/>
          </rPr>
          <t xml:space="preserve">Informar Contribuição Sindical
P - </t>
        </r>
        <r>
          <rPr>
            <sz val="8"/>
            <color indexed="56"/>
            <rFont val="Tahoma"/>
            <family val="2"/>
          </rPr>
          <t>Já descontou</t>
        </r>
        <r>
          <rPr>
            <b/>
            <sz val="8"/>
            <color indexed="56"/>
            <rFont val="Tahoma"/>
            <family val="2"/>
          </rPr>
          <t xml:space="preserve">
T - </t>
        </r>
        <r>
          <rPr>
            <sz val="8"/>
            <color indexed="56"/>
            <rFont val="Tahoma"/>
            <family val="2"/>
          </rPr>
          <t>Não descontou</t>
        </r>
        <r>
          <rPr>
            <b/>
            <sz val="8"/>
            <color indexed="56"/>
            <rFont val="Tahoma"/>
            <family val="2"/>
          </rPr>
          <t xml:space="preserve">
N - </t>
        </r>
        <r>
          <rPr>
            <sz val="8"/>
            <color indexed="56"/>
            <rFont val="Tahoma"/>
            <family val="2"/>
          </rPr>
          <t>NÃO PAGA</t>
        </r>
      </text>
    </comment>
    <comment ref="AE22" authorId="0" shapeId="0" xr:uid="{00000000-0006-0000-0000-000008000000}">
      <text>
        <r>
          <rPr>
            <b/>
            <sz val="9"/>
            <color indexed="56"/>
            <rFont val="Segoe UI"/>
            <family val="2"/>
          </rPr>
          <t xml:space="preserve">9A - </t>
        </r>
        <r>
          <rPr>
            <sz val="9"/>
            <color indexed="56"/>
            <rFont val="Segoe UI"/>
            <family val="2"/>
          </rPr>
          <t>Primeiro Emprego</t>
        </r>
        <r>
          <rPr>
            <b/>
            <sz val="9"/>
            <color indexed="56"/>
            <rFont val="Segoe UI"/>
            <family val="2"/>
          </rPr>
          <t xml:space="preserve">
9B - </t>
        </r>
        <r>
          <rPr>
            <sz val="9"/>
            <color indexed="56"/>
            <rFont val="Segoe UI"/>
            <family val="2"/>
          </rPr>
          <t>Reemprego</t>
        </r>
        <r>
          <rPr>
            <b/>
            <sz val="9"/>
            <color indexed="56"/>
            <rFont val="Segoe UI"/>
            <family val="2"/>
          </rPr>
          <t xml:space="preserve">
9C - </t>
        </r>
        <r>
          <rPr>
            <sz val="9"/>
            <color indexed="56"/>
            <rFont val="Segoe UI"/>
            <family val="2"/>
          </rPr>
          <t xml:space="preserve">Transferência </t>
        </r>
      </text>
    </comment>
    <comment ref="AG22" authorId="2" shapeId="0" xr:uid="{00000000-0006-0000-0000-000009000000}">
      <text>
        <r>
          <rPr>
            <sz val="9"/>
            <color indexed="56"/>
            <rFont val="Segoe UI"/>
            <family val="2"/>
          </rPr>
          <t xml:space="preserve">Informar se o empregado já é </t>
        </r>
        <r>
          <rPr>
            <b/>
            <u/>
            <sz val="9"/>
            <color indexed="56"/>
            <rFont val="Segoe UI"/>
            <family val="2"/>
          </rPr>
          <t>APOSENTADO</t>
        </r>
        <r>
          <rPr>
            <sz val="9"/>
            <color indexed="56"/>
            <rFont val="Segoe UI"/>
            <family val="2"/>
          </rPr>
          <t xml:space="preserve"> pela previdência</t>
        </r>
      </text>
    </comment>
    <comment ref="F32" authorId="2" shapeId="0" xr:uid="{00000000-0006-0000-0000-00000A000000}">
      <text>
        <r>
          <rPr>
            <sz val="9"/>
            <color indexed="56"/>
            <rFont val="Segoe UI"/>
            <family val="2"/>
          </rPr>
          <t>Informar se será descontado contribuição NEGOCIAL (campo confederativa)</t>
        </r>
      </text>
    </comment>
    <comment ref="AJ32" authorId="0" shapeId="0" xr:uid="{00000000-0006-0000-0000-00000B000000}">
      <text>
        <r>
          <rPr>
            <sz val="9"/>
            <color indexed="56"/>
            <rFont val="Segoe UI"/>
            <family val="2"/>
          </rPr>
          <t>Informar o número de Dias da prorrogação do contrato de experiência</t>
        </r>
      </text>
    </comment>
    <comment ref="V43" authorId="0" shapeId="0" xr:uid="{00000000-0006-0000-0000-00000C000000}">
      <text>
        <r>
          <rPr>
            <sz val="9"/>
            <color indexed="56"/>
            <rFont val="Segoe UI"/>
            <family val="2"/>
          </rPr>
          <t>Informar se o empregado declara como dependente para efeito de DEDUÇÃO do Imposto de Renda na Fonte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43" authorId="3" shapeId="0" xr:uid="{00000000-0006-0000-0000-00000D000000}">
      <text>
        <r>
          <rPr>
            <sz val="9"/>
            <color indexed="56"/>
            <rFont val="Segoe UI"/>
            <family val="2"/>
          </rPr>
          <t xml:space="preserve">Entrega é </t>
        </r>
        <r>
          <rPr>
            <b/>
            <u/>
            <sz val="9"/>
            <color indexed="56"/>
            <rFont val="Segoe UI"/>
            <family val="2"/>
          </rPr>
          <t>obrigatória</t>
        </r>
        <r>
          <rPr>
            <sz val="9"/>
            <color indexed="56"/>
            <rFont val="Segoe UI"/>
            <family val="2"/>
          </rPr>
          <t xml:space="preserve"> para declaração no e-social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4" authorId="0" shapeId="0" xr:uid="{00000000-0006-0000-0000-00000E000000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4" authorId="0" shapeId="0" xr:uid="{00000000-0006-0000-0000-00000F000000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44" authorId="1" shapeId="0" xr:uid="{00000000-0006-0000-0000-000010000000}">
      <text>
        <r>
          <rPr>
            <sz val="9"/>
            <color indexed="56"/>
            <rFont val="Segoe UI"/>
            <family val="2"/>
          </rPr>
          <t>OBRIGATÓRIO SOMENTE PARA INSLUSÃO NO PLANO DE SAÚDE E ODONTOLÓGICO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5" authorId="1" shapeId="0" xr:uid="{00000000-0006-0000-0000-000011000000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cônjuge ou deixar espaço em branco se não for incluir</t>
        </r>
      </text>
    </comment>
    <comment ref="W45" authorId="1" shapeId="0" xr:uid="{2E35A850-FDB4-4712-9ACB-E4D3D8FBBFD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cônjuge ou deixar espaço em branco se não for incluir</t>
        </r>
      </text>
    </comment>
    <comment ref="V47" authorId="0" shapeId="0" xr:uid="{00000000-0006-0000-0000-000013000000}">
      <text>
        <r>
          <rPr>
            <b/>
            <sz val="9"/>
            <color indexed="56"/>
            <rFont val="Segoe UI"/>
            <family val="2"/>
          </rPr>
          <t>Informar se o empregado declara como dependente para efeito de DEDUÇÃO do Imposto de Renda na Fonte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47" authorId="3" shapeId="0" xr:uid="{38816E13-6407-4339-A3D9-E9295D5BBEB2}">
      <text>
        <r>
          <rPr>
            <sz val="9"/>
            <color indexed="56"/>
            <rFont val="Segoe UI"/>
            <family val="2"/>
          </rPr>
          <t xml:space="preserve">Entrega é </t>
        </r>
        <r>
          <rPr>
            <b/>
            <u/>
            <sz val="9"/>
            <color indexed="56"/>
            <rFont val="Segoe UI"/>
            <family val="2"/>
          </rPr>
          <t>obrigatória</t>
        </r>
        <r>
          <rPr>
            <sz val="9"/>
            <color indexed="56"/>
            <rFont val="Segoe UI"/>
            <family val="2"/>
          </rPr>
          <t xml:space="preserve"> para declaração no e-social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48" authorId="0" shapeId="0" xr:uid="{841BB17F-2CA4-42F5-BE93-7A52B35FAF20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8" authorId="0" shapeId="0" xr:uid="{6166F89F-817E-4AC4-86A5-DDFE48CBE989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48" authorId="1" shapeId="0" xr:uid="{00000000-0006-0000-0000-000017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I48" authorId="1" shapeId="0" xr:uid="{00000000-0006-0000-0000-000018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9" authorId="1" shapeId="0" xr:uid="{07880B12-48EE-4C02-B7F8-2C05B7E429B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W49" authorId="1" shapeId="0" xr:uid="{35460776-6220-4958-B473-E5A4374F35FD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0" authorId="0" shapeId="0" xr:uid="{66FF839C-D942-4199-8101-873C6E7032FD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0" authorId="0" shapeId="0" xr:uid="{0753E321-B932-41F5-92A7-EE68AD5893EF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50" authorId="1" shapeId="0" xr:uid="{00000000-0006-0000-0000-00001D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I50" authorId="1" shapeId="0" xr:uid="{00000000-0006-0000-0000-00001E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1" authorId="1" shapeId="0" xr:uid="{555A56E5-1958-4DD5-AAD8-C1D87CD4C575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W51" authorId="1" shapeId="0" xr:uid="{E1F7ABA2-2E05-4DFB-B68B-BFAD1EB96C02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2" authorId="0" shapeId="0" xr:uid="{A84FC12D-157D-49AA-9F61-F46E3D630C3E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2" authorId="0" shapeId="0" xr:uid="{C6AA863E-B885-42E5-B685-02B4E2BBCCDD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52" authorId="1" shapeId="0" xr:uid="{00000000-0006-0000-0000-000023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I52" authorId="1" shapeId="0" xr:uid="{00000000-0006-0000-0000-000024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3" authorId="1" shapeId="0" xr:uid="{8664225C-02A3-4433-93CF-A03114434AA9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W53" authorId="1" shapeId="0" xr:uid="{19A87522-87F6-46B6-97FB-5CFDFCDBDF85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4" authorId="0" shapeId="0" xr:uid="{DB38CDD5-2E07-4F36-A52C-BAEBD238E0B1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4" authorId="0" shapeId="0" xr:uid="{6F1F8523-E575-4261-90BC-1F733F130D01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54" authorId="1" shapeId="0" xr:uid="{00000000-0006-0000-0000-000029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I54" authorId="1" shapeId="0" xr:uid="{00000000-0006-0000-0000-00002A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5" authorId="1" shapeId="0" xr:uid="{08D425BC-915F-4886-AAF8-4291435AE94A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W55" authorId="1" shapeId="0" xr:uid="{82ABFF77-1C2C-4178-B2EC-2615F0B5A4A7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U56" authorId="0" shapeId="0" xr:uid="{80D53B23-246C-4479-AEFE-37C12E5A3F95}">
      <text>
        <r>
          <rPr>
            <b/>
            <sz val="9"/>
            <color indexed="56"/>
            <rFont val="Segoe UI"/>
            <family val="2"/>
          </rPr>
          <t>01=</t>
        </r>
        <r>
          <rPr>
            <sz val="9"/>
            <color indexed="56"/>
            <rFont val="Segoe UI"/>
            <family val="2"/>
          </rPr>
          <t>Cônjuge;</t>
        </r>
        <r>
          <rPr>
            <b/>
            <sz val="9"/>
            <color indexed="56"/>
            <rFont val="Segoe UI"/>
            <family val="2"/>
          </rPr>
          <t xml:space="preserve">
02=</t>
        </r>
        <r>
          <rPr>
            <sz val="9"/>
            <color indexed="56"/>
            <rFont val="Segoe UI"/>
            <family val="2"/>
          </rPr>
          <t>Companheiro(a) com o(a) qual tenha filho ou viva há mais de 5 (cinco) anos;</t>
        </r>
        <r>
          <rPr>
            <b/>
            <sz val="9"/>
            <color indexed="56"/>
            <rFont val="Segoe UI"/>
            <family val="2"/>
          </rPr>
          <t xml:space="preserve">
03=</t>
        </r>
        <r>
          <rPr>
            <sz val="9"/>
            <color indexed="56"/>
            <rFont val="Segoe UI"/>
            <family val="2"/>
          </rPr>
          <t>Filho(a) ou enteado(a) até 21 (vinte e um) anos;</t>
        </r>
        <r>
          <rPr>
            <b/>
            <sz val="9"/>
            <color indexed="56"/>
            <rFont val="Segoe UI"/>
            <family val="2"/>
          </rPr>
          <t xml:space="preserve">
04=</t>
        </r>
        <r>
          <rPr>
            <sz val="9"/>
            <color indexed="56"/>
            <rFont val="Segoe UI"/>
            <family val="2"/>
          </rPr>
          <t>Filho(a) ou enteado(a) universitário(a) ou cursando escola técnica de 2º grau, até 24 anos;</t>
        </r>
        <r>
          <rPr>
            <b/>
            <sz val="9"/>
            <color indexed="56"/>
            <rFont val="Segoe UI"/>
            <family val="2"/>
          </rPr>
          <t xml:space="preserve">
05=</t>
        </r>
        <r>
          <rPr>
            <sz val="9"/>
            <color indexed="56"/>
            <rFont val="Segoe UI"/>
            <family val="2"/>
          </rPr>
          <t>Filho(a) ou enteado(a) em qualquer idade, quando incapaditado física e/ou mentalmente;</t>
        </r>
        <r>
          <rPr>
            <b/>
            <sz val="9"/>
            <color indexed="56"/>
            <rFont val="Segoe UI"/>
            <family val="2"/>
          </rPr>
          <t xml:space="preserve">
06=</t>
        </r>
        <r>
          <rPr>
            <sz val="9"/>
            <color indexed="56"/>
            <rFont val="Segoe UI"/>
            <family val="2"/>
          </rPr>
          <t>Irmão(ã), neto(a) ou bisneto(a) sem arrimo dos pais o qual detenha a guarda judicial;</t>
        </r>
        <r>
          <rPr>
            <b/>
            <sz val="9"/>
            <color indexed="56"/>
            <rFont val="Segoe UI"/>
            <family val="2"/>
          </rPr>
          <t xml:space="preserve">
07=</t>
        </r>
        <r>
          <rPr>
            <sz val="9"/>
            <color indexed="56"/>
            <rFont val="Segoe UI"/>
            <family val="2"/>
          </rPr>
          <t>Irmão(ã), neto(a) ou bisneto(a) sem arrimo dos pais, com idade até 24 anos, se ainda estiver estudando;</t>
        </r>
        <r>
          <rPr>
            <b/>
            <sz val="9"/>
            <color indexed="56"/>
            <rFont val="Segoe UI"/>
            <family val="2"/>
          </rPr>
          <t xml:space="preserve">
08=</t>
        </r>
        <r>
          <rPr>
            <sz val="9"/>
            <color indexed="56"/>
            <rFont val="Segoe UI"/>
            <family val="2"/>
          </rPr>
          <t>Irmão(ã), neto(a) ou bisneto(a) sem arrimo dos pais, do(a) qual detenha a guarda judicial;</t>
        </r>
        <r>
          <rPr>
            <b/>
            <sz val="9"/>
            <color indexed="56"/>
            <rFont val="Segoe UI"/>
            <family val="2"/>
          </rPr>
          <t xml:space="preserve">
09=</t>
        </r>
        <r>
          <rPr>
            <sz val="9"/>
            <color indexed="56"/>
            <rFont val="Segoe UI"/>
            <family val="2"/>
          </rPr>
          <t>Pais, avós e bisavós;</t>
        </r>
        <r>
          <rPr>
            <b/>
            <sz val="9"/>
            <color indexed="56"/>
            <rFont val="Segoe UI"/>
            <family val="2"/>
          </rPr>
          <t xml:space="preserve">
10=</t>
        </r>
        <r>
          <rPr>
            <sz val="9"/>
            <color indexed="56"/>
            <rFont val="Segoe UI"/>
            <family val="2"/>
          </rPr>
          <t>Menor pobre, até 21 (vinte e um) anos que crie e eduque e do qual detenha a guarda judicial;</t>
        </r>
        <r>
          <rPr>
            <b/>
            <sz val="9"/>
            <color indexed="56"/>
            <rFont val="Segoe UI"/>
            <family val="2"/>
          </rPr>
          <t xml:space="preserve">
11=</t>
        </r>
        <r>
          <rPr>
            <sz val="9"/>
            <color indexed="56"/>
            <rFont val="Segoe UI"/>
            <family val="2"/>
          </rPr>
          <t>A pessoa totalmente incapaz, da qual seja tutor ou curador;</t>
        </r>
        <r>
          <rPr>
            <b/>
            <sz val="9"/>
            <color indexed="56"/>
            <rFont val="Segoe UI"/>
            <family val="2"/>
          </rPr>
          <t xml:space="preserve">
12=</t>
        </r>
        <r>
          <rPr>
            <sz val="9"/>
            <color indexed="56"/>
            <rFont val="Segoe UI"/>
            <family val="2"/>
          </rPr>
          <t>Ex-cônjuge que receba pensãode alimentos.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6" authorId="0" shapeId="0" xr:uid="{E2ED2F8F-3671-4765-83BC-6A9E00C1E674}">
      <text>
        <r>
          <rPr>
            <b/>
            <sz val="9"/>
            <color indexed="56"/>
            <rFont val="Segoe UI"/>
            <family val="2"/>
          </rPr>
          <t>1=</t>
        </r>
        <r>
          <rPr>
            <sz val="9"/>
            <color indexed="56"/>
            <rFont val="Segoe UI"/>
            <family val="2"/>
          </rPr>
          <t>S/Lim.Idade</t>
        </r>
        <r>
          <rPr>
            <b/>
            <sz val="9"/>
            <color indexed="56"/>
            <rFont val="Segoe UI"/>
            <family val="2"/>
          </rPr>
          <t xml:space="preserve">
2=</t>
        </r>
        <r>
          <rPr>
            <sz val="9"/>
            <color indexed="56"/>
            <rFont val="Segoe UI"/>
            <family val="2"/>
          </rPr>
          <t>Até 21 Anos</t>
        </r>
        <r>
          <rPr>
            <b/>
            <sz val="9"/>
            <color indexed="56"/>
            <rFont val="Segoe UI"/>
            <family val="2"/>
          </rPr>
          <t xml:space="preserve">
3=</t>
        </r>
        <r>
          <rPr>
            <sz val="9"/>
            <color indexed="56"/>
            <rFont val="Segoe UI"/>
            <family val="2"/>
          </rPr>
          <t>Até 24 Anos</t>
        </r>
        <r>
          <rPr>
            <b/>
            <sz val="9"/>
            <color indexed="56"/>
            <rFont val="Segoe UI"/>
            <family val="2"/>
          </rPr>
          <t xml:space="preserve">
4=</t>
        </r>
        <r>
          <rPr>
            <sz val="9"/>
            <color indexed="56"/>
            <rFont val="Segoe UI"/>
            <family val="2"/>
          </rPr>
          <t>Não é Dep.</t>
        </r>
        <r>
          <rPr>
            <b/>
            <sz val="8"/>
            <color indexed="56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D56" authorId="1" shapeId="0" xr:uid="{00000000-0006-0000-0000-00002F000000}">
      <text>
        <r>
          <rPr>
            <b/>
            <sz val="9"/>
            <color indexed="81"/>
            <rFont val="Segoe UI"/>
            <family val="2"/>
          </rPr>
          <t>Digitar somente números, sem ponto ou caracteres</t>
        </r>
      </text>
    </comment>
    <comment ref="AI56" authorId="1" shapeId="0" xr:uid="{00000000-0006-0000-0000-000030000000}">
      <text>
        <r>
          <rPr>
            <b/>
            <sz val="9"/>
            <color indexed="81"/>
            <rFont val="Segoe UI"/>
            <family val="2"/>
          </rPr>
          <t xml:space="preserve">OBRIGATÓRIO SOMENTE PARA INSLUSÃO NO PLANO DE SAÚDE </t>
        </r>
        <r>
          <rPr>
            <b/>
            <u/>
            <sz val="9"/>
            <color indexed="10"/>
            <rFont val="Segoe UI"/>
            <family val="2"/>
          </rPr>
          <t>NASCIDOS APÓS JANEIRO/2010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7" authorId="1" shapeId="0" xr:uid="{46C227F4-E41C-4082-853A-063C01BA7B6B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da mãe do dependente ou deixar espaço em branco se não for incluir</t>
        </r>
      </text>
    </comment>
    <comment ref="W57" authorId="1" shapeId="0" xr:uid="{BFD831C7-B804-4D82-8106-0A1B4101D0BD}">
      <text>
        <r>
          <rPr>
            <sz val="9"/>
            <color indexed="56"/>
            <rFont val="Segoe UI"/>
            <family val="2"/>
          </rPr>
          <t>OBRIGATÓRIO SOMENTE PARA INCLUSÃO NO PLANO DE SÁUDE E ODONTOLOGICO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i/>
            <sz val="9"/>
            <color indexed="10"/>
            <rFont val="Segoe UI"/>
            <family val="2"/>
          </rPr>
          <t>Digitar o nome do pai do dependente ou deixar espaço em branco se não for incluir</t>
        </r>
      </text>
    </comment>
    <comment ref="F60" authorId="1" shapeId="0" xr:uid="{00000000-0006-0000-0000-000033000000}">
      <text>
        <r>
          <rPr>
            <b/>
            <sz val="9"/>
            <color indexed="56"/>
            <rFont val="Segoe UI"/>
            <family val="2"/>
          </rPr>
          <t>1 - Aumento de quadro</t>
        </r>
        <r>
          <rPr>
            <sz val="9"/>
            <color indexed="56"/>
            <rFont val="Segoe UI"/>
            <family val="2"/>
          </rPr>
          <t xml:space="preserve"> - será utilizando quando não for previsto no escopo inicial ou revisão do contrato, os custos são assumidos pela SEMEP;
</t>
        </r>
        <r>
          <rPr>
            <b/>
            <sz val="9"/>
            <color indexed="56"/>
            <rFont val="Segoe UI"/>
            <family val="2"/>
          </rPr>
          <t>2- Mobilização</t>
        </r>
        <r>
          <rPr>
            <sz val="9"/>
            <color indexed="56"/>
            <rFont val="Segoe UI"/>
            <family val="2"/>
          </rPr>
          <t xml:space="preserve"> - será utilizado nos casos de início de contrato ou aditivo contratual que prevê aumento de mão de obra;
</t>
        </r>
        <r>
          <rPr>
            <b/>
            <sz val="9"/>
            <color indexed="56"/>
            <rFont val="Segoe UI"/>
            <family val="2"/>
          </rPr>
          <t>3 - Subsituição</t>
        </r>
        <r>
          <rPr>
            <sz val="9"/>
            <color indexed="56"/>
            <rFont val="Segoe UI"/>
            <family val="2"/>
          </rPr>
          <t xml:space="preserve"> - será utilziado quando tratar-se de substituição de mão de obra já mobilizada no contrato por qualquer motivo.</t>
        </r>
      </text>
    </comment>
    <comment ref="J60" authorId="1" shapeId="0" xr:uid="{00000000-0006-0000-0000-000034000000}">
      <text>
        <r>
          <rPr>
            <sz val="9"/>
            <color indexed="56"/>
            <rFont val="Segoe UI"/>
            <family val="2"/>
          </rPr>
          <t>Informar se  o candidato que está sendo contratado é ex colaborador da SEMEP, se positivo confirmar se é recomendado sua recontratação com o RH/CRC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60" authorId="1" shapeId="0" xr:uid="{00000000-0006-0000-0000-000035000000}">
      <text>
        <r>
          <rPr>
            <sz val="9"/>
            <color indexed="56"/>
            <rFont val="Segoe UI"/>
            <family val="2"/>
          </rPr>
          <t>Se ex-colaborador da SEMEP informar o motivo do desligamento e não foi contra-indicado pra recontratação no RH. Motivo que sua readmissão estará bloqueada no SIGAGPE (Protheus)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64" authorId="1" shapeId="0" xr:uid="{00000000-0006-0000-0000-000036000000}">
      <text>
        <r>
          <rPr>
            <b/>
            <sz val="14"/>
            <color indexed="10"/>
            <rFont val="Segoe UI"/>
            <family val="2"/>
          </rPr>
          <t>ATENÇÃO:</t>
        </r>
        <r>
          <rPr>
            <b/>
            <sz val="9"/>
            <color indexed="81"/>
            <rFont val="Segoe UI"/>
            <family val="2"/>
          </rPr>
          <t xml:space="preserve"> 
</t>
        </r>
        <r>
          <rPr>
            <sz val="9"/>
            <color indexed="81"/>
            <rFont val="Segoe UI"/>
            <family val="2"/>
          </rPr>
          <t xml:space="preserve">No caso de inclusão de dependentes no plano de saúde o Núcleo deverá enviar no e-mail junto com a admissão os arquivos em ZIP (compactado) ou em PDF </t>
        </r>
        <r>
          <rPr>
            <u/>
            <sz val="9"/>
            <color indexed="81"/>
            <rFont val="Segoe UI"/>
            <family val="2"/>
          </rPr>
          <t>separado</t>
        </r>
        <r>
          <rPr>
            <sz val="9"/>
            <color indexed="81"/>
            <rFont val="Segoe UI"/>
            <family val="2"/>
          </rPr>
          <t xml:space="preserve"> por dependente e renomeado com o nome do dependente: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56"/>
            <rFont val="Segoe UI"/>
            <family val="2"/>
          </rPr>
          <t xml:space="preserve">- </t>
        </r>
        <r>
          <rPr>
            <b/>
            <u/>
            <sz val="9"/>
            <color indexed="56"/>
            <rFont val="Segoe UI"/>
            <family val="2"/>
          </rPr>
          <t>Conjugê ou companheiro</t>
        </r>
        <r>
          <rPr>
            <b/>
            <sz val="9"/>
            <color indexed="56"/>
            <rFont val="Segoe UI"/>
            <family val="2"/>
          </rPr>
          <t xml:space="preserve"> = RG + CPF + Certidão de casamento ou escritura pública para União Estável
- </t>
        </r>
        <r>
          <rPr>
            <b/>
            <u/>
            <sz val="9"/>
            <color indexed="56"/>
            <rFont val="Segoe UI"/>
            <family val="2"/>
          </rPr>
          <t>Filhos ou enteados</t>
        </r>
        <r>
          <rPr>
            <b/>
            <sz val="9"/>
            <color indexed="56"/>
            <rFont val="Segoe UI"/>
            <family val="2"/>
          </rPr>
          <t xml:space="preserve"> = RG + CPF + Certidão de nascimento</t>
        </r>
      </text>
    </comment>
  </commentList>
</comments>
</file>

<file path=xl/sharedStrings.xml><?xml version="1.0" encoding="utf-8"?>
<sst xmlns="http://schemas.openxmlformats.org/spreadsheetml/2006/main" count="469" uniqueCount="267">
  <si>
    <t>CPF</t>
  </si>
  <si>
    <t>S</t>
  </si>
  <si>
    <t>M</t>
  </si>
  <si>
    <t>Nome</t>
  </si>
  <si>
    <t>Data de Nacimento</t>
  </si>
  <si>
    <t>Sexo</t>
  </si>
  <si>
    <t>Nasc</t>
  </si>
  <si>
    <t>Naturalidade</t>
  </si>
  <si>
    <t>UF</t>
  </si>
  <si>
    <t>E.Civil</t>
  </si>
  <si>
    <t>G.Inst.</t>
  </si>
  <si>
    <t>Número</t>
  </si>
  <si>
    <t>Complemento</t>
  </si>
  <si>
    <t>Bairro</t>
  </si>
  <si>
    <t>Cidade</t>
  </si>
  <si>
    <t>Cep</t>
  </si>
  <si>
    <t>Carteira de Identidade</t>
  </si>
  <si>
    <t>C</t>
  </si>
  <si>
    <t>Título de Eleitor</t>
  </si>
  <si>
    <t>Zona</t>
  </si>
  <si>
    <t>Seção</t>
  </si>
  <si>
    <t>Carteira Trabalho</t>
  </si>
  <si>
    <t>Série</t>
  </si>
  <si>
    <t>Carteira de Motorista</t>
  </si>
  <si>
    <t>Categ.</t>
  </si>
  <si>
    <t>PIS/PASEP</t>
  </si>
  <si>
    <t>Forma Rec</t>
  </si>
  <si>
    <t>Salário</t>
  </si>
  <si>
    <t>Horário / escala de trabalho</t>
  </si>
  <si>
    <t>Nome do Pai</t>
  </si>
  <si>
    <t>Nome da Mãe</t>
  </si>
  <si>
    <t>GP</t>
  </si>
  <si>
    <t>SX</t>
  </si>
  <si>
    <t>Dt Nasc</t>
  </si>
  <si>
    <t>Local Nascimento</t>
  </si>
  <si>
    <t>Motivo da Saída:</t>
  </si>
  <si>
    <t>N</t>
  </si>
  <si>
    <t>Data autorização</t>
  </si>
  <si>
    <t>F</t>
  </si>
  <si>
    <t>D</t>
  </si>
  <si>
    <t>V</t>
  </si>
  <si>
    <t>P</t>
  </si>
  <si>
    <t>T</t>
  </si>
  <si>
    <t>HORA</t>
  </si>
  <si>
    <t>MENSAL</t>
  </si>
  <si>
    <t>SIM</t>
  </si>
  <si>
    <t>NÃO</t>
  </si>
  <si>
    <t>Tipo</t>
  </si>
  <si>
    <t>Conta Pagto</t>
  </si>
  <si>
    <t>Função</t>
  </si>
  <si>
    <t>Estado</t>
  </si>
  <si>
    <t>Certificado Reservista</t>
  </si>
  <si>
    <t>Matrícula</t>
  </si>
  <si>
    <t>Q</t>
  </si>
  <si>
    <t>Cadastrais</t>
  </si>
  <si>
    <t>Centro Custos</t>
  </si>
  <si>
    <t>9A</t>
  </si>
  <si>
    <t>9B</t>
  </si>
  <si>
    <t>9C</t>
  </si>
  <si>
    <t>10 ANALFABETO</t>
  </si>
  <si>
    <t>20 ATE 4ª SERIE INCOMPLETA (PRIMARIO INCOMPLETO)</t>
  </si>
  <si>
    <t>25 COM 4ª SERIE COMPLETA DO 1º GRAU (PRIMARIO COMPLETO)</t>
  </si>
  <si>
    <t>30 PRIMEIRO GRAU (GINASIO) INCOMPLETO</t>
  </si>
  <si>
    <t>35 PRIMEIRO GRAU (GINASIO) COMPLETO</t>
  </si>
  <si>
    <t>40 SEGUNDO GRAU (COLEGIAL) INCOMPLETO</t>
  </si>
  <si>
    <t>45 SEGUNDO GRAU (COLEGIAL) COMPLETO</t>
  </si>
  <si>
    <t>50 SUPERIOR INCOMPLETO</t>
  </si>
  <si>
    <t>55 SUPERIOR COMPLETO</t>
  </si>
  <si>
    <t>75 DOUTORADO COMPLETO</t>
  </si>
  <si>
    <t>65 MESTRADO COMPLETO</t>
  </si>
  <si>
    <t>85 POS-GRADUACAO/ESPECIALIZACAO</t>
  </si>
  <si>
    <t>95 POS-DOUTORADO</t>
  </si>
  <si>
    <t>Dt Venc ASO</t>
  </si>
  <si>
    <t>Tipo D</t>
  </si>
  <si>
    <t>Raça</t>
  </si>
  <si>
    <t>DDD</t>
  </si>
  <si>
    <t>Endereço (Rua, avenida, alameda, beco, chácara, vila, travessa, etc)</t>
  </si>
  <si>
    <t>Orgão Emissor CNH</t>
  </si>
  <si>
    <t>Dt Emissão CNH</t>
  </si>
  <si>
    <t>Dt Venc.CNH</t>
  </si>
  <si>
    <t>Cat.CNH</t>
  </si>
  <si>
    <t>Dt Emissão RG</t>
  </si>
  <si>
    <t>Orgão Emissor RG</t>
  </si>
  <si>
    <t>IR</t>
  </si>
  <si>
    <t>Dependentes</t>
  </si>
  <si>
    <t>Func.</t>
  </si>
  <si>
    <t>Doc.</t>
  </si>
  <si>
    <t>Outros Dados</t>
  </si>
  <si>
    <t>Formalização</t>
  </si>
  <si>
    <t>SCA - Solicitação de Cadastro e Admissão</t>
  </si>
  <si>
    <t>2a/5a 07h00/17h00 - 6a 07h00/16h00 - Int 01h00 - Dsr: Sab/Dom</t>
  </si>
  <si>
    <t>2a/5a 08h00/18h00 - 6a 08h00/17h00 - Int 01h00 - Dsr: Sab/Dom</t>
  </si>
  <si>
    <t>Cópias dos documentos pessoasi</t>
  </si>
  <si>
    <t>Assinatura do empregado (Autorizo o arquivamento das cópias de meus documentos pessoais)</t>
  </si>
  <si>
    <t>Ex-SEMEP</t>
  </si>
  <si>
    <t>Outras Informações:</t>
  </si>
  <si>
    <t>Notas:</t>
  </si>
  <si>
    <r>
      <t xml:space="preserve">1. Será obrigatório o envio de cópia digitalizada somente do </t>
    </r>
    <r>
      <rPr>
        <b/>
        <u/>
        <sz val="8"/>
        <color indexed="18"/>
        <rFont val="Arial Narrow"/>
        <family val="2"/>
      </rPr>
      <t>CARTÃO</t>
    </r>
    <r>
      <rPr>
        <sz val="8"/>
        <color indexed="18"/>
        <rFont val="Arial Narrow"/>
        <family val="2"/>
      </rPr>
      <t xml:space="preserve"> ou </t>
    </r>
    <r>
      <rPr>
        <b/>
        <u/>
        <sz val="8"/>
        <color indexed="18"/>
        <rFont val="Arial Narrow"/>
        <family val="2"/>
      </rPr>
      <t xml:space="preserve">EXTRATO </t>
    </r>
    <r>
      <rPr>
        <sz val="8"/>
        <color indexed="18"/>
        <rFont val="Arial Narrow"/>
        <family val="2"/>
      </rPr>
      <t>bancário, sendo dispensado o envio dos demais documentos;</t>
    </r>
  </si>
  <si>
    <r>
      <t xml:space="preserve">2. É responsabilidade da Unidade Operacional a veracidade e confiabilidade dos dados digitados que, requer </t>
    </r>
    <r>
      <rPr>
        <b/>
        <u/>
        <sz val="8"/>
        <color indexed="18"/>
        <rFont val="Arial Narrow"/>
        <family val="2"/>
      </rPr>
      <t>ATENÇÃO ESPECIAL</t>
    </r>
    <r>
      <rPr>
        <sz val="8"/>
        <color indexed="18"/>
        <rFont val="Arial Narrow"/>
        <family val="2"/>
      </rPr>
      <t xml:space="preserve"> para GFIP, CAGED e RAIS;</t>
    </r>
  </si>
  <si>
    <t>Cód.Pais</t>
  </si>
  <si>
    <t>Cota Def</t>
  </si>
  <si>
    <t>101</t>
  </si>
  <si>
    <t>Sin</t>
  </si>
  <si>
    <t>% Per.</t>
  </si>
  <si>
    <t>% Ins.</t>
  </si>
  <si>
    <t>Aposentado</t>
  </si>
  <si>
    <t>C.eSocial</t>
  </si>
  <si>
    <t>Dt Termino Ctr</t>
  </si>
  <si>
    <t>Dt Emiss CTPS</t>
  </si>
  <si>
    <t>UF cnh</t>
  </si>
  <si>
    <t>C.Neg.</t>
  </si>
  <si>
    <t>1ª Experiência</t>
  </si>
  <si>
    <t>2ª Experiência</t>
  </si>
  <si>
    <r>
      <t xml:space="preserve">3. Os campos de cor amarela são de preenchimentos obrigatórios e os vermelhos para o eSocial. A SCA deverá ser preechida com </t>
    </r>
    <r>
      <rPr>
        <b/>
        <u/>
        <sz val="8"/>
        <color indexed="18"/>
        <rFont val="Arial Narrow"/>
        <family val="2"/>
      </rPr>
      <t>LETRA CAIXA ALTA</t>
    </r>
    <r>
      <rPr>
        <sz val="8"/>
        <color indexed="18"/>
        <rFont val="Arial Narrow"/>
        <family val="2"/>
      </rPr>
      <t>.</t>
    </r>
  </si>
  <si>
    <t>Data Admissão</t>
  </si>
  <si>
    <t>Jornada mês</t>
  </si>
  <si>
    <t>FOR. 33</t>
  </si>
  <si>
    <t>SCA</t>
  </si>
  <si>
    <t>CPF dependente</t>
  </si>
  <si>
    <t>Nome do(a) cônjuge ou companheiro(a)</t>
  </si>
  <si>
    <t>Data casamento</t>
  </si>
  <si>
    <t>Nome dependentes filhos(as) enteados(as)</t>
  </si>
  <si>
    <t>Nº Nascido vivo DNV</t>
  </si>
  <si>
    <t>Titular</t>
  </si>
  <si>
    <t>PARA USO DO RH/CRC:</t>
  </si>
  <si>
    <t>Odonto</t>
  </si>
  <si>
    <t>Pl Saúde</t>
  </si>
  <si>
    <t>Qualificação</t>
  </si>
  <si>
    <t>CAGED</t>
  </si>
  <si>
    <t>eSocial/TAF</t>
  </si>
  <si>
    <t>Incluir no Plano de Saúde:</t>
  </si>
  <si>
    <t>Inclusão no Plano Odonto:</t>
  </si>
  <si>
    <t>Telefone Fixo</t>
  </si>
  <si>
    <t>Celular</t>
  </si>
  <si>
    <t>E-mail (Obrigatório quando possuir):</t>
  </si>
  <si>
    <t>Motivo Vaga</t>
  </si>
  <si>
    <t>Aumento</t>
  </si>
  <si>
    <t>Mobilização</t>
  </si>
  <si>
    <t>Substituição</t>
  </si>
  <si>
    <t>Banco</t>
  </si>
  <si>
    <t>Agência</t>
  </si>
  <si>
    <t>REV. 05</t>
  </si>
  <si>
    <t>COLAR COMPROVANTE DA CONTA NESSE ESPAÇO</t>
  </si>
  <si>
    <t>Cod Departamento</t>
  </si>
  <si>
    <t>Descrição Departamento</t>
  </si>
  <si>
    <t>Descricao</t>
  </si>
  <si>
    <t>Centro Custo</t>
  </si>
  <si>
    <t>Descr.CCusto</t>
  </si>
  <si>
    <t>Cod. Agrupam</t>
  </si>
  <si>
    <t>Desc. Agrupa</t>
  </si>
  <si>
    <t>DEPARTAMENTO PESSOAL</t>
  </si>
  <si>
    <t>MATRIZ</t>
  </si>
  <si>
    <t>SEMAN - SERV. ESPEC. MANUTENCA</t>
  </si>
  <si>
    <t>SEMAN - SERV. ESPEC. MANUTENCAO</t>
  </si>
  <si>
    <t>SESMT</t>
  </si>
  <si>
    <t>PATRIMONIO/ALMOXARIFADO/FERRAM</t>
  </si>
  <si>
    <t>PATRIMONIO/ALMOXARIFADO/FERRAMENTARIA</t>
  </si>
  <si>
    <t>SUPRIMENTOS</t>
  </si>
  <si>
    <t>COMPRAS</t>
  </si>
  <si>
    <t>TI</t>
  </si>
  <si>
    <t>TECNOLOGIA DA INFORMACAO</t>
  </si>
  <si>
    <t>TESOURARIA</t>
  </si>
  <si>
    <t>APRENDIZAGEM</t>
  </si>
  <si>
    <t>CONTRATOS DE APRENDIZAGEM</t>
  </si>
  <si>
    <t>CONTABILIDADE</t>
  </si>
  <si>
    <t>COMERCIAL</t>
  </si>
  <si>
    <t>DEPARTAMENTO COMERCIAL</t>
  </si>
  <si>
    <t>CONTAINER  EVOLUTION</t>
  </si>
  <si>
    <t>CONTAINER  EVOLUTION- GERAL</t>
  </si>
  <si>
    <t>ESCRITORIO CENTRAL - SEDE</t>
  </si>
  <si>
    <t>DIRETORIA DE SERVICOS</t>
  </si>
  <si>
    <t>GESTAO DE KPI'S</t>
  </si>
  <si>
    <t>GONGO SOCO</t>
  </si>
  <si>
    <t>GONGO SOCO-VALE</t>
  </si>
  <si>
    <t>VALE GONCO SOCO</t>
  </si>
  <si>
    <t>VGD - AFIACAO DE BITS</t>
  </si>
  <si>
    <t>VARGEM GRANDE-VALE</t>
  </si>
  <si>
    <t>VALE VARGEM GRANDE</t>
  </si>
  <si>
    <t>ITABIRA - ELETRICA DE PO</t>
  </si>
  <si>
    <t>COMPLEXO DE ITABIRA-VALE</t>
  </si>
  <si>
    <t>VALE ITABIRA</t>
  </si>
  <si>
    <t>ADMINISTRATIVO</t>
  </si>
  <si>
    <t>FERGUMINAS-MOVIMENTACOES INTERNAS</t>
  </si>
  <si>
    <t>FERGUMINAS</t>
  </si>
  <si>
    <t>MANUTENCAO</t>
  </si>
  <si>
    <t>OPERACAO</t>
  </si>
  <si>
    <t>MMI-MINERACAO MORRO DO IPE</t>
  </si>
  <si>
    <t>MMI</t>
  </si>
  <si>
    <t>OPERACAO DE MINA-AMG</t>
  </si>
  <si>
    <t>AMG</t>
  </si>
  <si>
    <t>DP</t>
  </si>
  <si>
    <t>SEMAN</t>
  </si>
  <si>
    <t>OPERACAO DE MINA - LETRA A</t>
  </si>
  <si>
    <t>OPERACAO DE MINA - LETRA B</t>
  </si>
  <si>
    <t>OPERACAO DE MINA - LETRA C</t>
  </si>
  <si>
    <t>OPERACAO DE MINA - LETRA D</t>
  </si>
  <si>
    <t>OPERACAO DE MINA - COORDENACAO</t>
  </si>
  <si>
    <t>GESTAO OPERACIONAL</t>
  </si>
  <si>
    <t>MINA SENTO SE-TOMBADOR IRON</t>
  </si>
  <si>
    <t>SENTO SE</t>
  </si>
  <si>
    <t>PLANTA</t>
  </si>
  <si>
    <t>MINA SERRA AZUL-MOVIMENTACAO INTERNA</t>
  </si>
  <si>
    <t>ARCELOR MITTAL</t>
  </si>
  <si>
    <t>USIMINAS-PDE FINOS</t>
  </si>
  <si>
    <t>USIMINAS</t>
  </si>
  <si>
    <t>RH/DP</t>
  </si>
  <si>
    <t>MANUTENCAO/BORRACHARIA</t>
  </si>
  <si>
    <t>MEDICINA DO TRABALHO</t>
  </si>
  <si>
    <t>OBRA CIVIL</t>
  </si>
  <si>
    <t>PCM</t>
  </si>
  <si>
    <t>ALMOXARIFADO</t>
  </si>
  <si>
    <t>OPERACAO DE MINA LETRA A</t>
  </si>
  <si>
    <t>OPERACAO DE MINA LETRA B</t>
  </si>
  <si>
    <t>OPERACAO DE MINA LETRA C</t>
  </si>
  <si>
    <t>OPERACAO DE MINA LETRA D</t>
  </si>
  <si>
    <t>OPERACAO CENTRAL A</t>
  </si>
  <si>
    <t>OPERACAO CENTRAL B</t>
  </si>
  <si>
    <t>OPERACAO CENTRAL C</t>
  </si>
  <si>
    <t>OPERACAO CENTRAL D</t>
  </si>
  <si>
    <t>OPERACAO QUALIDADE</t>
  </si>
  <si>
    <t>USIMINAS-MOVIMENTACAO E CARREGAMENTO</t>
  </si>
  <si>
    <t>ENCARREGADOS</t>
  </si>
  <si>
    <t>SUPERVISOR MINA</t>
  </si>
  <si>
    <t>INSTRUCAO/MASTER DRIVE</t>
  </si>
  <si>
    <t>VAN</t>
  </si>
  <si>
    <t>PCP</t>
  </si>
  <si>
    <t>LIMPEZA</t>
  </si>
  <si>
    <t>GOM - PCP</t>
  </si>
  <si>
    <t>MINA SERRA DO SAPO-MOV.INTERNA (AA-CMD)</t>
  </si>
  <si>
    <t>ANGLO CMD</t>
  </si>
  <si>
    <t>GOM - SSO</t>
  </si>
  <si>
    <t>GOM - LID E OPE</t>
  </si>
  <si>
    <t>GOM - MAN</t>
  </si>
  <si>
    <t>GOM - BIT</t>
  </si>
  <si>
    <t>DRENAGEM II-ANGLO (AA-CMD)</t>
  </si>
  <si>
    <t>GSM - ADM</t>
  </si>
  <si>
    <t>ADMINISTRATIVO-CMD</t>
  </si>
  <si>
    <t>GSM - SSO</t>
  </si>
  <si>
    <t>GSM - MAN</t>
  </si>
  <si>
    <t>INFRA E VERTENTE-ANGLO (AA-CMD)</t>
  </si>
  <si>
    <t>ESCAVADEIRA BRITAGEM (AA-CMD)</t>
  </si>
  <si>
    <t>TRATORES INFRA (AA-CMD)</t>
  </si>
  <si>
    <t>GSM - LID</t>
  </si>
  <si>
    <t>GSM - LID E OPE</t>
  </si>
  <si>
    <t>GSM - SUP E PCM</t>
  </si>
  <si>
    <t>GSM - DRE</t>
  </si>
  <si>
    <t>GSM - SIN</t>
  </si>
  <si>
    <t>SINALIZACAO II-ANGLO (AA-CMD)</t>
  </si>
  <si>
    <t>GSM - OPE</t>
  </si>
  <si>
    <t>GSM - FAC</t>
  </si>
  <si>
    <t>GSM - PCD, ADM E FAC</t>
  </si>
  <si>
    <t>PLA - MAN</t>
  </si>
  <si>
    <t>TRATOR DE ESTEIRA (AA-CMD)</t>
  </si>
  <si>
    <t>PLA - OPE</t>
  </si>
  <si>
    <t>SUP - OPE</t>
  </si>
  <si>
    <t>LOCACAO CAMINHAO BASCULANTE (AA-CMD)</t>
  </si>
  <si>
    <t>Desc Agrupamento</t>
  </si>
  <si>
    <t>ADM OPERACAO</t>
  </si>
  <si>
    <t>ADM</t>
  </si>
  <si>
    <t>GERENCIA</t>
  </si>
  <si>
    <t>VALE OPER LOGISTICO ITABIRA</t>
  </si>
  <si>
    <t>ADM ITABIRA</t>
  </si>
  <si>
    <t>OP LOG SAO GONÇALO BRUCUTU</t>
  </si>
  <si>
    <t>VALE OP LOG BRUCUTU</t>
  </si>
  <si>
    <t>VALE</t>
  </si>
  <si>
    <t>funcionario preenche</t>
  </si>
  <si>
    <t>Contato de Emergência (Nome e Telefone - Obrigatório):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</si>
</sst>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([$€-2]* #,##0.00_);_([$€-2]* \(#,##0.00\);_([$€-2]* &quot;-&quot;??_)"/>
    <numFmt numFmtId="166" formatCode="00000"/>
    <numFmt numFmtId="167" formatCode="000000"/>
    <numFmt numFmtId="168" formatCode="dd/mm/yy"/>
    <numFmt numFmtId="169" formatCode="&quot;R$&quot;\ #,##0.00"/>
    <numFmt numFmtId="170" formatCode="0000"/>
    <numFmt numFmtId="171" formatCode="000"/>
    <numFmt numFmtId="172" formatCode="00"/>
    <numFmt numFmtId="173" formatCode="000\ 000\ 000\ 00"/>
    <numFmt numFmtId="174" formatCode="000\ 000\ 000\ 000"/>
    <numFmt numFmtId="175" formatCode="0\ 000\ 000\ 000\ 0"/>
    <numFmt numFmtId="176" formatCode="00\ 000\ 000"/>
    <numFmt numFmtId="177" formatCode="000000000"/>
    <numFmt numFmtId="178" formatCode="000000000000"/>
  </numFmts>
  <fonts count="6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9"/>
      <color indexed="81"/>
      <name val="Tahoma"/>
      <family val="2"/>
    </font>
    <font>
      <sz val="8"/>
      <name val="Arial Narrow"/>
      <family val="2"/>
    </font>
    <font>
      <sz val="7"/>
      <name val="Arial Narrow"/>
      <family val="2"/>
    </font>
    <font>
      <i/>
      <sz val="8"/>
      <name val="Arial Narrow"/>
      <family val="2"/>
    </font>
    <font>
      <i/>
      <sz val="7"/>
      <name val="Arial Narrow"/>
      <family val="2"/>
    </font>
    <font>
      <b/>
      <sz val="8"/>
      <name val="Arial Narrow"/>
      <family val="2"/>
    </font>
    <font>
      <b/>
      <sz val="8"/>
      <color indexed="56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9"/>
      <name val="Arial Narrow"/>
      <family val="2"/>
    </font>
    <font>
      <sz val="8"/>
      <color indexed="18"/>
      <name val="Arial Narrow"/>
      <family val="2"/>
    </font>
    <font>
      <sz val="9"/>
      <color indexed="81"/>
      <name val="Segoe UI"/>
      <family val="2"/>
    </font>
    <font>
      <b/>
      <sz val="9"/>
      <color indexed="56"/>
      <name val="Segoe UI"/>
      <family val="2"/>
    </font>
    <font>
      <b/>
      <u/>
      <sz val="9"/>
      <color indexed="56"/>
      <name val="Segoe UI"/>
      <family val="2"/>
    </font>
    <font>
      <b/>
      <u/>
      <sz val="8"/>
      <color indexed="18"/>
      <name val="Arial Narrow"/>
      <family val="2"/>
    </font>
    <font>
      <b/>
      <sz val="9"/>
      <color indexed="10"/>
      <name val="Segoe UI"/>
      <family val="2"/>
    </font>
    <font>
      <b/>
      <sz val="10"/>
      <name val="Arial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9"/>
      <color indexed="81"/>
      <name val="Segoe UI"/>
      <family val="2"/>
    </font>
    <font>
      <b/>
      <sz val="14"/>
      <color indexed="10"/>
      <name val="Segoe UI"/>
      <family val="2"/>
    </font>
    <font>
      <b/>
      <u val="double"/>
      <sz val="12"/>
      <color indexed="53"/>
      <name val="Segoe UI"/>
      <family val="2"/>
    </font>
    <font>
      <b/>
      <u/>
      <sz val="9"/>
      <color indexed="10"/>
      <name val="Segoe UI"/>
      <family val="2"/>
    </font>
    <font>
      <i/>
      <sz val="9"/>
      <color indexed="10"/>
      <name val="Segoe UI"/>
      <family val="2"/>
    </font>
    <font>
      <sz val="12"/>
      <color theme="4"/>
      <name val="Arial"/>
      <family val="2"/>
    </font>
    <font>
      <sz val="11"/>
      <color rgb="FF0070C0"/>
      <name val="Arial"/>
      <family val="2"/>
    </font>
    <font>
      <sz val="8"/>
      <color theme="4"/>
      <name val="Arial Narrow"/>
      <family val="2"/>
    </font>
    <font>
      <sz val="8"/>
      <color rgb="FF0070C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"/>
      <family val="2"/>
    </font>
    <font>
      <sz val="8"/>
      <color theme="4"/>
      <name val="Arial"/>
      <family val="2"/>
    </font>
    <font>
      <b/>
      <sz val="8"/>
      <color theme="1"/>
      <name val="Arial"/>
      <family val="2"/>
    </font>
    <font>
      <sz val="14"/>
      <color theme="1"/>
      <name val="Arial Narrow"/>
      <family val="2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10"/>
      <color theme="3"/>
      <name val="Arial Narrow"/>
      <family val="2"/>
    </font>
    <font>
      <b/>
      <sz val="10"/>
      <color theme="3"/>
      <name val="Arial Narrow"/>
      <family val="2"/>
    </font>
    <font>
      <sz val="14"/>
      <color theme="1"/>
      <name val="Arial"/>
      <family val="2"/>
    </font>
    <font>
      <sz val="9"/>
      <color theme="3"/>
      <name val="Arial"/>
      <family val="2"/>
    </font>
    <font>
      <sz val="8"/>
      <color theme="3"/>
      <name val="Arial"/>
      <family val="2"/>
    </font>
    <font>
      <sz val="9"/>
      <color theme="4"/>
      <name val="Arial Narrow"/>
      <family val="2"/>
    </font>
    <font>
      <sz val="9"/>
      <color theme="3"/>
      <name val="Arial Narrow"/>
      <family val="2"/>
    </font>
    <font>
      <i/>
      <sz val="8"/>
      <color theme="4"/>
      <name val="Arial Narrow"/>
      <family val="2"/>
    </font>
    <font>
      <b/>
      <sz val="8"/>
      <color rgb="FFFF0000"/>
      <name val="Arial Narrow"/>
      <family val="2"/>
    </font>
    <font>
      <b/>
      <sz val="9"/>
      <color theme="3"/>
      <name val="Arial"/>
      <family val="2"/>
    </font>
    <font>
      <b/>
      <sz val="14"/>
      <color theme="1"/>
      <name val="Arial Narrow"/>
      <family val="2"/>
    </font>
    <font>
      <sz val="8"/>
      <color rgb="FFFF0000"/>
      <name val="Arial Narrow"/>
      <family val="2"/>
    </font>
    <font>
      <sz val="8"/>
      <color theme="3" tint="-0.249977111117893"/>
      <name val="Arial Narrow"/>
      <family val="2"/>
    </font>
    <font>
      <sz val="8"/>
      <color rgb="FF002060"/>
      <name val="Arial"/>
      <family val="2"/>
    </font>
    <font>
      <sz val="9"/>
      <color rgb="FF0070C0"/>
      <name val="Arial"/>
      <family val="2"/>
    </font>
    <font>
      <sz val="8"/>
      <color rgb="FFCD1619"/>
      <name val="Arial Narrow"/>
      <family val="2"/>
    </font>
    <font>
      <sz val="14"/>
      <color theme="1" tint="0.34998626667073579"/>
      <name val="Arial Narrow"/>
      <family val="2"/>
    </font>
    <font>
      <sz val="9"/>
      <color indexed="56"/>
      <name val="Segoe UI"/>
      <family val="2"/>
    </font>
    <font>
      <b/>
      <i/>
      <sz val="9"/>
      <color indexed="56"/>
      <name val="Segoe UI"/>
      <family val="2"/>
    </font>
    <font>
      <b/>
      <sz val="12"/>
      <color indexed="53"/>
      <name val="Segoe UI"/>
      <family val="2"/>
    </font>
    <font>
      <sz val="8"/>
      <color indexed="56"/>
      <name val="Tahoma"/>
      <family val="2"/>
    </font>
    <font>
      <u/>
      <sz val="9"/>
      <color indexed="81"/>
      <name val="Segoe UI"/>
      <family val="2"/>
    </font>
    <font>
      <sz val="24"/>
      <color theme="0" tint="-0.249977111117893"/>
      <name val="Arial Narrow"/>
      <family val="2"/>
    </font>
    <font>
      <sz val="22"/>
      <color theme="0" tint="-0.249977111117893"/>
      <name val="Arial Narrow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2">
    <xf numFmtId="0" fontId="0" fillId="0" borderId="0" xfId="0"/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71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172" fontId="34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72" fontId="34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9" fillId="0" borderId="0" xfId="0" applyFont="1" applyAlignment="1" applyProtection="1">
      <alignment vertical="center"/>
      <protection locked="0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5" fontId="6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39" fillId="0" borderId="7" xfId="0" applyFont="1" applyBorder="1" applyAlignment="1">
      <alignment horizontal="center" vertical="center"/>
    </xf>
    <xf numFmtId="14" fontId="30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right" vertical="center"/>
    </xf>
    <xf numFmtId="0" fontId="29" fillId="0" borderId="8" xfId="0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171" fontId="46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71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171" fontId="41" fillId="0" borderId="0" xfId="0" applyNumberFormat="1" applyFont="1" applyAlignment="1">
      <alignment horizontal="center" vertical="center"/>
    </xf>
    <xf numFmtId="171" fontId="31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/>
    </xf>
    <xf numFmtId="171" fontId="42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171" fontId="48" fillId="0" borderId="0" xfId="0" applyNumberFormat="1" applyFont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168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justify" vertical="center" wrapText="1"/>
    </xf>
    <xf numFmtId="0" fontId="49" fillId="0" borderId="1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49" fontId="39" fillId="0" borderId="0" xfId="0" applyNumberFormat="1" applyFont="1" applyAlignment="1" applyProtection="1">
      <alignment vertical="center"/>
      <protection locked="0"/>
    </xf>
    <xf numFmtId="14" fontId="39" fillId="0" borderId="0" xfId="0" applyNumberFormat="1" applyFont="1" applyAlignment="1" applyProtection="1">
      <alignment vertical="center"/>
      <protection locked="0"/>
    </xf>
    <xf numFmtId="0" fontId="39" fillId="0" borderId="0" xfId="0" applyFont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49" fontId="44" fillId="0" borderId="7" xfId="0" applyNumberFormat="1" applyFont="1" applyBorder="1" applyAlignment="1">
      <alignment horizontal="left" vertical="center"/>
    </xf>
    <xf numFmtId="0" fontId="50" fillId="0" borderId="12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44" fillId="0" borderId="7" xfId="0" applyFont="1" applyBorder="1" applyAlignment="1">
      <alignment horizontal="left" vertical="center"/>
    </xf>
    <xf numFmtId="0" fontId="4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left" vertical="center"/>
    </xf>
    <xf numFmtId="1" fontId="39" fillId="0" borderId="7" xfId="0" applyNumberFormat="1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44" fillId="0" borderId="0" xfId="0" applyNumberFormat="1" applyFont="1" applyAlignment="1">
      <alignment horizontal="left" vertical="center"/>
    </xf>
    <xf numFmtId="14" fontId="39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70" fontId="39" fillId="0" borderId="0" xfId="0" applyNumberFormat="1" applyFont="1" applyAlignment="1">
      <alignment horizontal="center" vertical="center"/>
    </xf>
    <xf numFmtId="168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justify" vertical="center" wrapText="1"/>
    </xf>
    <xf numFmtId="14" fontId="4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44" fillId="0" borderId="13" xfId="0" applyFont="1" applyBorder="1" applyAlignment="1">
      <alignment horizontal="left" vertical="center"/>
    </xf>
    <xf numFmtId="0" fontId="45" fillId="0" borderId="14" xfId="0" applyFont="1" applyBorder="1" applyAlignment="1" applyProtection="1">
      <alignment horizontal="center" vertical="center"/>
      <protection locked="0"/>
    </xf>
    <xf numFmtId="172" fontId="45" fillId="0" borderId="14" xfId="0" applyNumberFormat="1" applyFont="1" applyBorder="1" applyAlignment="1" applyProtection="1">
      <alignment horizontal="center" vertical="center"/>
      <protection locked="0"/>
    </xf>
    <xf numFmtId="1" fontId="45" fillId="0" borderId="15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77" fontId="65" fillId="5" borderId="0" xfId="0" applyNumberFormat="1" applyFont="1" applyFill="1" applyAlignment="1">
      <alignment horizontal="center" vertical="center"/>
    </xf>
    <xf numFmtId="0" fontId="65" fillId="5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2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vertical="center"/>
      <protection locked="0"/>
    </xf>
    <xf numFmtId="0" fontId="63" fillId="0" borderId="0" xfId="0" applyFont="1" applyAlignment="1" applyProtection="1">
      <alignment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44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44" fillId="0" borderId="6" xfId="0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 textRotation="90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left" vertical="center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40" fillId="0" borderId="6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vertical="center"/>
      <protection locked="0"/>
    </xf>
    <xf numFmtId="0" fontId="44" fillId="3" borderId="16" xfId="0" applyFont="1" applyFill="1" applyBorder="1" applyAlignment="1" applyProtection="1">
      <alignment horizontal="left" vertical="center"/>
      <protection hidden="1"/>
    </xf>
    <xf numFmtId="0" fontId="44" fillId="3" borderId="17" xfId="0" applyFont="1" applyFill="1" applyBorder="1" applyAlignment="1" applyProtection="1">
      <alignment horizontal="left" vertical="center"/>
      <protection hidden="1"/>
    </xf>
    <xf numFmtId="0" fontId="44" fillId="3" borderId="18" xfId="0" applyFont="1" applyFill="1" applyBorder="1" applyAlignment="1" applyProtection="1">
      <alignment horizontal="left" vertical="center"/>
      <protection hidden="1"/>
    </xf>
    <xf numFmtId="0" fontId="6" fillId="0" borderId="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4" fillId="4" borderId="0" xfId="0" applyFont="1" applyFill="1" applyAlignment="1" applyProtection="1">
      <alignment horizontal="center" vertical="center" wrapText="1"/>
      <protection locked="0"/>
    </xf>
    <xf numFmtId="14" fontId="45" fillId="0" borderId="14" xfId="0" applyNumberFormat="1" applyFont="1" applyBorder="1" applyAlignment="1" applyProtection="1">
      <alignment horizontal="center" vertical="center" shrinkToFit="1"/>
      <protection locked="0"/>
    </xf>
    <xf numFmtId="14" fontId="45" fillId="0" borderId="15" xfId="0" applyNumberFormat="1" applyFont="1" applyBorder="1" applyAlignment="1" applyProtection="1">
      <alignment horizontal="center" vertical="center" shrinkToFit="1"/>
      <protection locked="0"/>
    </xf>
    <xf numFmtId="168" fontId="45" fillId="0" borderId="46" xfId="0" applyNumberFormat="1" applyFont="1" applyBorder="1" applyAlignment="1" applyProtection="1">
      <alignment horizontal="center" vertical="center"/>
      <protection locked="0"/>
    </xf>
    <xf numFmtId="168" fontId="45" fillId="0" borderId="14" xfId="0" applyNumberFormat="1" applyFont="1" applyBorder="1" applyAlignment="1" applyProtection="1">
      <alignment horizontal="center" vertical="center"/>
      <protection locked="0"/>
    </xf>
    <xf numFmtId="173" fontId="45" fillId="0" borderId="14" xfId="0" applyNumberFormat="1" applyFont="1" applyBorder="1" applyAlignment="1" applyProtection="1">
      <alignment horizontal="center" vertical="center"/>
      <protection locked="0"/>
    </xf>
    <xf numFmtId="0" fontId="45" fillId="0" borderId="46" xfId="0" applyFont="1" applyBorder="1" applyAlignment="1" applyProtection="1">
      <alignment horizontal="center" vertical="center" wrapText="1"/>
      <protection locked="0"/>
    </xf>
    <xf numFmtId="0" fontId="45" fillId="0" borderId="14" xfId="0" applyFont="1" applyBorder="1" applyAlignment="1" applyProtection="1">
      <alignment horizontal="center" vertical="center" wrapText="1"/>
      <protection locked="0"/>
    </xf>
    <xf numFmtId="168" fontId="54" fillId="0" borderId="43" xfId="0" applyNumberFormat="1" applyFont="1" applyBorder="1" applyAlignment="1" applyProtection="1">
      <alignment horizontal="center" vertical="center"/>
      <protection locked="0"/>
    </xf>
    <xf numFmtId="168" fontId="54" fillId="0" borderId="44" xfId="0" applyNumberFormat="1" applyFont="1" applyBorder="1" applyAlignment="1" applyProtection="1">
      <alignment horizontal="center" vertical="center"/>
      <protection locked="0"/>
    </xf>
    <xf numFmtId="168" fontId="54" fillId="0" borderId="45" xfId="0" applyNumberFormat="1" applyFont="1" applyBorder="1" applyAlignment="1" applyProtection="1">
      <alignment horizontal="center" vertical="center"/>
      <protection locked="0"/>
    </xf>
    <xf numFmtId="168" fontId="55" fillId="0" borderId="0" xfId="0" applyNumberFormat="1" applyFont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left" vertical="center"/>
      <protection locked="0"/>
    </xf>
    <xf numFmtId="0" fontId="39" fillId="0" borderId="18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49" fontId="44" fillId="0" borderId="16" xfId="0" applyNumberFormat="1" applyFont="1" applyBorder="1" applyAlignment="1" applyProtection="1">
      <alignment horizontal="left" vertical="center"/>
      <protection locked="0"/>
    </xf>
    <xf numFmtId="49" fontId="44" fillId="0" borderId="18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vertical="center"/>
    </xf>
    <xf numFmtId="178" fontId="44" fillId="0" borderId="16" xfId="0" applyNumberFormat="1" applyFont="1" applyBorder="1" applyAlignment="1" applyProtection="1">
      <alignment horizontal="center" vertical="center"/>
      <protection locked="0"/>
    </xf>
    <xf numFmtId="178" fontId="44" fillId="0" borderId="17" xfId="0" applyNumberFormat="1" applyFont="1" applyBorder="1" applyAlignment="1" applyProtection="1">
      <alignment horizontal="center" vertical="center"/>
      <protection locked="0"/>
    </xf>
    <xf numFmtId="178" fontId="44" fillId="0" borderId="18" xfId="0" applyNumberFormat="1" applyFont="1" applyBorder="1" applyAlignment="1" applyProtection="1">
      <alignment horizontal="center" vertical="center"/>
      <protection locked="0"/>
    </xf>
    <xf numFmtId="0" fontId="49" fillId="0" borderId="1" xfId="0" applyFont="1" applyBorder="1" applyAlignment="1" applyProtection="1">
      <alignment horizontal="left" vertical="center"/>
      <protection locked="0"/>
    </xf>
    <xf numFmtId="0" fontId="49" fillId="0" borderId="21" xfId="0" applyFont="1" applyBorder="1" applyAlignment="1" applyProtection="1">
      <alignment horizontal="left" vertical="center"/>
      <protection locked="0"/>
    </xf>
    <xf numFmtId="0" fontId="49" fillId="0" borderId="2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39" fillId="0" borderId="16" xfId="0" applyNumberFormat="1" applyFont="1" applyBorder="1" applyAlignment="1" applyProtection="1">
      <alignment horizontal="left" vertical="center"/>
      <protection locked="0"/>
    </xf>
    <xf numFmtId="49" fontId="39" fillId="0" borderId="17" xfId="0" applyNumberFormat="1" applyFont="1" applyBorder="1" applyAlignment="1" applyProtection="1">
      <alignment horizontal="left" vertical="center"/>
      <protection locked="0"/>
    </xf>
    <xf numFmtId="49" fontId="39" fillId="0" borderId="18" xfId="0" applyNumberFormat="1" applyFont="1" applyBorder="1" applyAlignment="1" applyProtection="1">
      <alignment horizontal="left" vertical="center"/>
      <protection locked="0"/>
    </xf>
    <xf numFmtId="0" fontId="6" fillId="0" borderId="47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0" fontId="10" fillId="3" borderId="21" xfId="0" applyFont="1" applyFill="1" applyBorder="1" applyAlignment="1" applyProtection="1">
      <alignment horizontal="left" vertical="center"/>
      <protection locked="0"/>
    </xf>
    <xf numFmtId="0" fontId="10" fillId="3" borderId="2" xfId="0" applyFont="1" applyFill="1" applyBorder="1" applyAlignment="1" applyProtection="1">
      <alignment horizontal="left" vertical="center"/>
      <protection locked="0"/>
    </xf>
    <xf numFmtId="0" fontId="56" fillId="0" borderId="33" xfId="0" applyFont="1" applyBorder="1" applyAlignment="1">
      <alignment horizontal="right" vertical="top"/>
    </xf>
    <xf numFmtId="0" fontId="3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3" fillId="0" borderId="19" xfId="0" applyFont="1" applyBorder="1" applyAlignment="1" applyProtection="1">
      <alignment horizontal="left" vertical="center"/>
      <protection locked="0"/>
    </xf>
    <xf numFmtId="0" fontId="53" fillId="0" borderId="0" xfId="0" applyFont="1" applyAlignment="1" applyProtection="1">
      <alignment horizontal="left" vertical="center"/>
      <protection locked="0"/>
    </xf>
    <xf numFmtId="0" fontId="53" fillId="0" borderId="20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vertical="center"/>
      <protection locked="0"/>
    </xf>
    <xf numFmtId="0" fontId="6" fillId="0" borderId="28" xfId="0" applyFont="1" applyBorder="1" applyProtection="1">
      <protection locked="0"/>
    </xf>
    <xf numFmtId="0" fontId="6" fillId="0" borderId="29" xfId="0" applyFont="1" applyBorder="1" applyProtection="1">
      <protection locked="0"/>
    </xf>
    <xf numFmtId="14" fontId="40" fillId="0" borderId="16" xfId="0" applyNumberFormat="1" applyFont="1" applyBorder="1" applyAlignment="1" applyProtection="1">
      <alignment horizontal="center" vertical="center"/>
      <protection locked="0"/>
    </xf>
    <xf numFmtId="14" fontId="40" fillId="0" borderId="17" xfId="0" applyNumberFormat="1" applyFont="1" applyBorder="1" applyAlignment="1" applyProtection="1">
      <alignment horizontal="center" vertical="center"/>
      <protection locked="0"/>
    </xf>
    <xf numFmtId="14" fontId="40" fillId="0" borderId="18" xfId="0" applyNumberFormat="1" applyFont="1" applyBorder="1" applyAlignment="1" applyProtection="1">
      <alignment horizontal="center" vertical="center"/>
      <protection locked="0"/>
    </xf>
    <xf numFmtId="0" fontId="51" fillId="0" borderId="11" xfId="0" applyFont="1" applyBorder="1" applyAlignment="1" applyProtection="1">
      <alignment horizontal="center" vertical="center" textRotation="90"/>
      <protection locked="0"/>
    </xf>
    <xf numFmtId="0" fontId="51" fillId="0" borderId="42" xfId="0" applyFont="1" applyBorder="1" applyAlignment="1" applyProtection="1">
      <alignment horizontal="center" vertical="center" textRotation="90"/>
      <protection locked="0"/>
    </xf>
    <xf numFmtId="0" fontId="51" fillId="0" borderId="12" xfId="0" applyFont="1" applyBorder="1" applyAlignment="1" applyProtection="1">
      <alignment horizontal="center" vertical="center" textRotation="90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left" vertical="center"/>
      <protection locked="0"/>
    </xf>
    <xf numFmtId="0" fontId="53" fillId="0" borderId="16" xfId="0" applyFont="1" applyBorder="1" applyAlignment="1" applyProtection="1">
      <alignment horizontal="left" vertical="center"/>
      <protection locked="0"/>
    </xf>
    <xf numFmtId="0" fontId="53" fillId="0" borderId="17" xfId="0" applyFont="1" applyBorder="1" applyAlignment="1" applyProtection="1">
      <alignment horizontal="left" vertical="center"/>
      <protection locked="0"/>
    </xf>
    <xf numFmtId="0" fontId="53" fillId="0" borderId="18" xfId="0" applyFont="1" applyBorder="1" applyAlignment="1" applyProtection="1">
      <alignment horizontal="left" vertical="center"/>
      <protection locked="0"/>
    </xf>
    <xf numFmtId="0" fontId="44" fillId="0" borderId="16" xfId="0" applyFont="1" applyBorder="1" applyAlignment="1" applyProtection="1">
      <alignment horizontal="left" vertical="center"/>
      <protection locked="0"/>
    </xf>
    <xf numFmtId="0" fontId="44" fillId="0" borderId="18" xfId="0" applyFont="1" applyBorder="1" applyAlignment="1" applyProtection="1">
      <alignment horizontal="left" vertical="center"/>
      <protection locked="0"/>
    </xf>
    <xf numFmtId="0" fontId="39" fillId="0" borderId="17" xfId="0" applyFont="1" applyBorder="1" applyAlignment="1" applyProtection="1">
      <alignment horizontal="left" vertical="center"/>
      <protection locked="0"/>
    </xf>
    <xf numFmtId="14" fontId="39" fillId="0" borderId="16" xfId="0" applyNumberFormat="1" applyFont="1" applyBorder="1" applyAlignment="1" applyProtection="1">
      <alignment horizontal="center" vertical="center"/>
      <protection locked="0"/>
    </xf>
    <xf numFmtId="14" fontId="39" fillId="0" borderId="17" xfId="0" applyNumberFormat="1" applyFont="1" applyBorder="1" applyAlignment="1" applyProtection="1">
      <alignment horizontal="center" vertical="center"/>
      <protection locked="0"/>
    </xf>
    <xf numFmtId="14" fontId="39" fillId="0" borderId="18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7" fontId="50" fillId="0" borderId="16" xfId="0" applyNumberFormat="1" applyFont="1" applyBorder="1" applyAlignment="1" applyProtection="1">
      <alignment horizontal="left" vertical="center"/>
      <protection locked="0"/>
    </xf>
    <xf numFmtId="167" fontId="50" fillId="0" borderId="17" xfId="0" applyNumberFormat="1" applyFont="1" applyBorder="1" applyAlignment="1" applyProtection="1">
      <alignment horizontal="left" vertical="center"/>
      <protection locked="0"/>
    </xf>
    <xf numFmtId="167" fontId="50" fillId="0" borderId="18" xfId="0" applyNumberFormat="1" applyFont="1" applyBorder="1" applyAlignment="1" applyProtection="1">
      <alignment horizontal="left" vertical="center"/>
      <protection locked="0"/>
    </xf>
    <xf numFmtId="0" fontId="39" fillId="0" borderId="22" xfId="0" applyFont="1" applyBorder="1" applyAlignment="1" applyProtection="1">
      <alignment horizontal="left" vertical="center"/>
      <protection locked="0"/>
    </xf>
    <xf numFmtId="0" fontId="39" fillId="0" borderId="41" xfId="0" applyFont="1" applyBorder="1" applyAlignment="1" applyProtection="1">
      <alignment horizontal="left" vertic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51" fillId="0" borderId="42" xfId="0" applyFont="1" applyBorder="1" applyAlignment="1" applyProtection="1">
      <alignment horizontal="left" vertical="center" textRotation="90"/>
      <protection locked="0"/>
    </xf>
    <xf numFmtId="176" fontId="39" fillId="0" borderId="17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left" vertical="center" shrinkToFit="1"/>
      <protection locked="0"/>
    </xf>
    <xf numFmtId="0" fontId="39" fillId="0" borderId="17" xfId="0" applyFont="1" applyBorder="1" applyAlignment="1" applyProtection="1">
      <alignment horizontal="left" vertical="center" shrinkToFit="1"/>
      <protection locked="0"/>
    </xf>
    <xf numFmtId="0" fontId="39" fillId="0" borderId="18" xfId="0" applyFont="1" applyBorder="1" applyAlignment="1" applyProtection="1">
      <alignment horizontal="left" vertical="center" shrinkToFit="1"/>
      <protection locked="0"/>
    </xf>
    <xf numFmtId="3" fontId="39" fillId="0" borderId="16" xfId="0" applyNumberFormat="1" applyFont="1" applyBorder="1" applyAlignment="1" applyProtection="1">
      <alignment horizontal="center" vertical="center"/>
      <protection locked="0"/>
    </xf>
    <xf numFmtId="3" fontId="39" fillId="0" borderId="17" xfId="0" applyNumberFormat="1" applyFont="1" applyBorder="1" applyAlignment="1" applyProtection="1">
      <alignment horizontal="center" vertical="center"/>
      <protection locked="0"/>
    </xf>
    <xf numFmtId="3" fontId="39" fillId="0" borderId="18" xfId="0" applyNumberFormat="1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left" vertical="center"/>
      <protection locked="0"/>
    </xf>
    <xf numFmtId="0" fontId="39" fillId="0" borderId="24" xfId="0" applyFont="1" applyBorder="1" applyAlignment="1" applyProtection="1">
      <alignment horizontal="left" vertical="center"/>
      <protection locked="0"/>
    </xf>
    <xf numFmtId="177" fontId="39" fillId="2" borderId="17" xfId="0" applyNumberFormat="1" applyFont="1" applyFill="1" applyBorder="1" applyAlignment="1" applyProtection="1">
      <alignment horizontal="left" vertical="center" shrinkToFit="1"/>
      <protection locked="0"/>
    </xf>
    <xf numFmtId="177" fontId="39" fillId="2" borderId="16" xfId="0" applyNumberFormat="1" applyFont="1" applyFill="1" applyBorder="1" applyAlignment="1" applyProtection="1">
      <alignment horizontal="left" vertical="center" shrinkToFit="1"/>
      <protection locked="0"/>
    </xf>
    <xf numFmtId="177" fontId="39" fillId="2" borderId="18" xfId="0" applyNumberFormat="1" applyFont="1" applyFill="1" applyBorder="1" applyAlignment="1" applyProtection="1">
      <alignment horizontal="left" vertical="center" shrinkToFit="1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39" fillId="0" borderId="16" xfId="0" applyFont="1" applyBorder="1" applyAlignment="1" applyProtection="1">
      <alignment horizontal="center" vertical="center" shrinkToFit="1"/>
      <protection locked="0"/>
    </xf>
    <xf numFmtId="0" fontId="39" fillId="0" borderId="17" xfId="0" applyFont="1" applyBorder="1" applyAlignment="1" applyProtection="1">
      <alignment horizontal="center" vertical="center" shrinkToFit="1"/>
      <protection locked="0"/>
    </xf>
    <xf numFmtId="0" fontId="39" fillId="0" borderId="18" xfId="0" applyFont="1" applyBorder="1" applyAlignment="1" applyProtection="1">
      <alignment horizontal="center" vertical="center" shrinkToFit="1"/>
      <protection locked="0"/>
    </xf>
    <xf numFmtId="0" fontId="39" fillId="0" borderId="16" xfId="0" applyFont="1" applyBorder="1" applyAlignment="1" applyProtection="1">
      <alignment horizontal="center" vertical="center"/>
      <protection locked="0"/>
    </xf>
    <xf numFmtId="0" fontId="39" fillId="0" borderId="17" xfId="0" applyFont="1" applyBorder="1" applyAlignment="1" applyProtection="1">
      <alignment horizontal="center" vertical="center"/>
      <protection locked="0"/>
    </xf>
    <xf numFmtId="0" fontId="39" fillId="0" borderId="18" xfId="0" applyFont="1" applyBorder="1" applyAlignment="1" applyProtection="1">
      <alignment horizontal="center" vertical="center"/>
      <protection locked="0"/>
    </xf>
    <xf numFmtId="0" fontId="51" fillId="0" borderId="3" xfId="0" applyFont="1" applyBorder="1" applyAlignment="1" applyProtection="1">
      <alignment horizontal="center" vertical="center" textRotation="90"/>
      <protection locked="0"/>
    </xf>
    <xf numFmtId="49" fontId="39" fillId="0" borderId="16" xfId="0" applyNumberFormat="1" applyFont="1" applyBorder="1" applyAlignment="1" applyProtection="1">
      <alignment horizontal="center" vertical="center"/>
      <protection locked="0"/>
    </xf>
    <xf numFmtId="49" fontId="39" fillId="0" borderId="17" xfId="0" applyNumberFormat="1" applyFont="1" applyBorder="1" applyAlignment="1" applyProtection="1">
      <alignment horizontal="center" vertical="center"/>
      <protection locked="0"/>
    </xf>
    <xf numFmtId="49" fontId="39" fillId="0" borderId="1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9" fontId="44" fillId="0" borderId="16" xfId="3" applyFont="1" applyBorder="1" applyAlignment="1" applyProtection="1">
      <alignment horizontal="left" vertical="center"/>
      <protection locked="0"/>
    </xf>
    <xf numFmtId="9" fontId="44" fillId="0" borderId="18" xfId="3" applyFont="1" applyBorder="1" applyAlignment="1" applyProtection="1">
      <alignment horizontal="left" vertical="center"/>
      <protection locked="0"/>
    </xf>
    <xf numFmtId="1" fontId="44" fillId="0" borderId="16" xfId="0" applyNumberFormat="1" applyFont="1" applyBorder="1" applyAlignment="1" applyProtection="1">
      <alignment horizontal="center" vertical="center"/>
      <protection locked="0"/>
    </xf>
    <xf numFmtId="1" fontId="44" fillId="0" borderId="17" xfId="0" applyNumberFormat="1" applyFont="1" applyBorder="1" applyAlignment="1" applyProtection="1">
      <alignment horizontal="center" vertical="center"/>
      <protection locked="0"/>
    </xf>
    <xf numFmtId="1" fontId="44" fillId="0" borderId="18" xfId="0" applyNumberFormat="1" applyFont="1" applyBorder="1" applyAlignment="1" applyProtection="1">
      <alignment horizontal="center" vertical="center"/>
      <protection locked="0"/>
    </xf>
    <xf numFmtId="0" fontId="52" fillId="0" borderId="1" xfId="0" applyFont="1" applyBorder="1" applyAlignment="1" applyProtection="1">
      <alignment horizontal="left" vertical="center"/>
      <protection locked="0"/>
    </xf>
    <xf numFmtId="0" fontId="52" fillId="0" borderId="21" xfId="0" applyFont="1" applyBorder="1" applyAlignment="1" applyProtection="1">
      <alignment horizontal="left" vertical="center"/>
      <protection locked="0"/>
    </xf>
    <xf numFmtId="0" fontId="52" fillId="0" borderId="2" xfId="0" applyFont="1" applyBorder="1" applyAlignment="1" applyProtection="1">
      <alignment horizontal="left" vertical="center"/>
      <protection locked="0"/>
    </xf>
    <xf numFmtId="14" fontId="50" fillId="0" borderId="16" xfId="0" applyNumberFormat="1" applyFont="1" applyBorder="1" applyAlignment="1" applyProtection="1">
      <alignment horizontal="left" vertical="center"/>
      <protection locked="0"/>
    </xf>
    <xf numFmtId="14" fontId="50" fillId="0" borderId="17" xfId="0" applyNumberFormat="1" applyFont="1" applyBorder="1" applyAlignment="1" applyProtection="1">
      <alignment horizontal="left" vertical="center"/>
      <protection locked="0"/>
    </xf>
    <xf numFmtId="14" fontId="50" fillId="0" borderId="18" xfId="0" applyNumberFormat="1" applyFont="1" applyBorder="1" applyAlignment="1" applyProtection="1">
      <alignment horizontal="left" vertical="center"/>
      <protection locked="0"/>
    </xf>
    <xf numFmtId="14" fontId="44" fillId="0" borderId="19" xfId="0" applyNumberFormat="1" applyFont="1" applyBorder="1" applyAlignment="1" applyProtection="1">
      <alignment horizontal="left" vertical="center"/>
      <protection locked="0"/>
    </xf>
    <xf numFmtId="14" fontId="44" fillId="0" borderId="0" xfId="0" applyNumberFormat="1" applyFont="1" applyAlignment="1" applyProtection="1">
      <alignment horizontal="left" vertical="center"/>
      <protection locked="0"/>
    </xf>
    <xf numFmtId="0" fontId="6" fillId="0" borderId="25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73" fontId="39" fillId="2" borderId="22" xfId="0" applyNumberFormat="1" applyFont="1" applyFill="1" applyBorder="1" applyAlignment="1" applyProtection="1">
      <alignment horizontal="left" vertical="center"/>
      <protection locked="0"/>
    </xf>
    <xf numFmtId="173" fontId="39" fillId="2" borderId="23" xfId="0" applyNumberFormat="1" applyFont="1" applyFill="1" applyBorder="1" applyAlignment="1" applyProtection="1">
      <alignment horizontal="left" vertical="center"/>
      <protection locked="0"/>
    </xf>
    <xf numFmtId="173" fontId="39" fillId="2" borderId="24" xfId="0" applyNumberFormat="1" applyFont="1" applyFill="1" applyBorder="1" applyAlignment="1" applyProtection="1">
      <alignment horizontal="left" vertical="center"/>
      <protection locked="0"/>
    </xf>
    <xf numFmtId="175" fontId="39" fillId="2" borderId="22" xfId="0" applyNumberFormat="1" applyFont="1" applyFill="1" applyBorder="1" applyAlignment="1" applyProtection="1">
      <alignment horizontal="left" vertical="center"/>
      <protection locked="0"/>
    </xf>
    <xf numFmtId="175" fontId="39" fillId="2" borderId="23" xfId="0" applyNumberFormat="1" applyFont="1" applyFill="1" applyBorder="1" applyAlignment="1" applyProtection="1">
      <alignment horizontal="left" vertical="center"/>
      <protection locked="0"/>
    </xf>
    <xf numFmtId="175" fontId="39" fillId="2" borderId="24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4" fontId="39" fillId="2" borderId="16" xfId="0" applyNumberFormat="1" applyFont="1" applyFill="1" applyBorder="1" applyAlignment="1" applyProtection="1">
      <alignment horizontal="left" vertical="center"/>
      <protection locked="0"/>
    </xf>
    <xf numFmtId="174" fontId="39" fillId="2" borderId="17" xfId="0" applyNumberFormat="1" applyFont="1" applyFill="1" applyBorder="1" applyAlignment="1" applyProtection="1">
      <alignment horizontal="left" vertical="center"/>
      <protection locked="0"/>
    </xf>
    <xf numFmtId="174" fontId="39" fillId="2" borderId="40" xfId="0" applyNumberFormat="1" applyFont="1" applyFill="1" applyBorder="1" applyAlignment="1" applyProtection="1">
      <alignment horizontal="left" vertical="center"/>
      <protection locked="0"/>
    </xf>
    <xf numFmtId="49" fontId="39" fillId="0" borderId="22" xfId="0" applyNumberFormat="1" applyFont="1" applyBorder="1" applyAlignment="1" applyProtection="1">
      <alignment horizontal="left" vertical="center"/>
      <protection locked="0"/>
    </xf>
    <xf numFmtId="49" fontId="39" fillId="0" borderId="23" xfId="0" applyNumberFormat="1" applyFont="1" applyBorder="1" applyAlignment="1" applyProtection="1">
      <alignment horizontal="left" vertical="center"/>
      <protection locked="0"/>
    </xf>
    <xf numFmtId="49" fontId="39" fillId="0" borderId="24" xfId="0" applyNumberFormat="1" applyFont="1" applyBorder="1" applyAlignment="1" applyProtection="1">
      <alignment horizontal="left" vertical="center"/>
      <protection locked="0"/>
    </xf>
    <xf numFmtId="0" fontId="39" fillId="0" borderId="40" xfId="0" applyFont="1" applyBorder="1" applyAlignment="1" applyProtection="1">
      <alignment horizontal="left" vertical="center"/>
      <protection locked="0"/>
    </xf>
    <xf numFmtId="0" fontId="49" fillId="0" borderId="1" xfId="0" applyFont="1" applyBorder="1" applyAlignment="1">
      <alignment horizontal="left" vertical="center"/>
    </xf>
    <xf numFmtId="0" fontId="49" fillId="0" borderId="21" xfId="0" applyFont="1" applyBorder="1" applyAlignment="1">
      <alignment horizontal="left" vertical="center"/>
    </xf>
    <xf numFmtId="0" fontId="49" fillId="0" borderId="2" xfId="0" applyFont="1" applyBorder="1" applyAlignment="1">
      <alignment horizontal="left" vertical="center"/>
    </xf>
    <xf numFmtId="0" fontId="21" fillId="0" borderId="2" xfId="0" applyFont="1" applyBorder="1"/>
    <xf numFmtId="49" fontId="50" fillId="0" borderId="16" xfId="0" applyNumberFormat="1" applyFont="1" applyBorder="1" applyAlignment="1" applyProtection="1">
      <alignment horizontal="center" vertical="center"/>
      <protection locked="0"/>
    </xf>
    <xf numFmtId="49" fontId="50" fillId="0" borderId="17" xfId="0" applyNumberFormat="1" applyFont="1" applyBorder="1" applyAlignment="1" applyProtection="1">
      <alignment horizontal="center" vertical="center"/>
      <protection locked="0"/>
    </xf>
    <xf numFmtId="49" fontId="50" fillId="0" borderId="18" xfId="0" applyNumberFormat="1" applyFont="1" applyBorder="1" applyAlignment="1" applyProtection="1">
      <alignment horizontal="center" vertical="center"/>
      <protection locked="0"/>
    </xf>
    <xf numFmtId="172" fontId="50" fillId="0" borderId="16" xfId="0" applyNumberFormat="1" applyFont="1" applyBorder="1" applyAlignment="1" applyProtection="1">
      <alignment horizontal="left" vertical="center"/>
      <protection locked="0"/>
    </xf>
    <xf numFmtId="0" fontId="21" fillId="0" borderId="18" xfId="0" applyFont="1" applyBorder="1" applyProtection="1">
      <protection locked="0"/>
    </xf>
    <xf numFmtId="0" fontId="57" fillId="0" borderId="34" xfId="0" applyFont="1" applyBorder="1" applyAlignment="1">
      <alignment horizontal="center" vertic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57" fillId="0" borderId="37" xfId="0" applyFont="1" applyBorder="1" applyAlignment="1">
      <alignment horizontal="center" vertical="center"/>
    </xf>
    <xf numFmtId="0" fontId="57" fillId="0" borderId="38" xfId="0" applyFont="1" applyBorder="1" applyAlignment="1">
      <alignment horizontal="center" vertical="center"/>
    </xf>
    <xf numFmtId="0" fontId="57" fillId="0" borderId="39" xfId="0" applyFont="1" applyBorder="1" applyAlignment="1">
      <alignment horizontal="center" vertical="center"/>
    </xf>
    <xf numFmtId="9" fontId="50" fillId="0" borderId="16" xfId="3" applyFont="1" applyBorder="1" applyAlignment="1" applyProtection="1">
      <alignment horizontal="left" vertical="center"/>
      <protection locked="0"/>
    </xf>
    <xf numFmtId="9" fontId="50" fillId="0" borderId="17" xfId="3" applyFont="1" applyBorder="1" applyAlignment="1" applyProtection="1">
      <alignment horizontal="left" vertical="center"/>
      <protection locked="0"/>
    </xf>
    <xf numFmtId="0" fontId="49" fillId="0" borderId="1" xfId="0" applyFont="1" applyBorder="1" applyAlignment="1" applyProtection="1">
      <alignment horizontal="center" vertical="center"/>
      <protection locked="0"/>
    </xf>
    <xf numFmtId="0" fontId="49" fillId="0" borderId="21" xfId="0" applyFont="1" applyBorder="1" applyAlignment="1" applyProtection="1">
      <alignment horizontal="center" vertical="center"/>
      <protection locked="0"/>
    </xf>
    <xf numFmtId="0" fontId="49" fillId="0" borderId="2" xfId="0" applyFont="1" applyBorder="1" applyAlignment="1" applyProtection="1">
      <alignment horizontal="center" vertical="center"/>
      <protection locked="0"/>
    </xf>
    <xf numFmtId="0" fontId="44" fillId="2" borderId="16" xfId="0" applyFont="1" applyFill="1" applyBorder="1" applyAlignment="1" applyProtection="1">
      <alignment horizontal="left" vertical="center" shrinkToFit="1"/>
      <protection locked="0"/>
    </xf>
    <xf numFmtId="0" fontId="44" fillId="2" borderId="17" xfId="0" applyFont="1" applyFill="1" applyBorder="1" applyAlignment="1" applyProtection="1">
      <alignment horizontal="left" vertical="center" shrinkToFit="1"/>
      <protection locked="0"/>
    </xf>
    <xf numFmtId="0" fontId="44" fillId="2" borderId="18" xfId="0" applyFont="1" applyFill="1" applyBorder="1" applyAlignment="1" applyProtection="1">
      <alignment horizontal="left" vertical="center" shrinkToFit="1"/>
      <protection locked="0"/>
    </xf>
    <xf numFmtId="171" fontId="44" fillId="0" borderId="16" xfId="0" applyNumberFormat="1" applyFont="1" applyBorder="1" applyAlignment="1" applyProtection="1">
      <alignment horizontal="left" vertical="center"/>
      <protection locked="0"/>
    </xf>
    <xf numFmtId="171" fontId="44" fillId="0" borderId="17" xfId="0" applyNumberFormat="1" applyFont="1" applyBorder="1" applyAlignment="1" applyProtection="1">
      <alignment horizontal="left" vertical="center"/>
      <protection locked="0"/>
    </xf>
    <xf numFmtId="49" fontId="44" fillId="0" borderId="16" xfId="0" applyNumberFormat="1" applyFont="1" applyBorder="1" applyAlignment="1" applyProtection="1">
      <alignment horizontal="center" vertical="center"/>
      <protection locked="0"/>
    </xf>
    <xf numFmtId="49" fontId="44" fillId="0" borderId="17" xfId="0" applyNumberFormat="1" applyFont="1" applyBorder="1" applyAlignment="1" applyProtection="1">
      <alignment horizontal="center" vertical="center"/>
      <protection locked="0"/>
    </xf>
    <xf numFmtId="49" fontId="44" fillId="0" borderId="18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left" vertical="center"/>
      <protection locked="0"/>
    </xf>
    <xf numFmtId="0" fontId="44" fillId="0" borderId="23" xfId="0" applyFont="1" applyBorder="1" applyAlignment="1" applyProtection="1">
      <alignment horizontal="left" vertical="center"/>
      <protection locked="0"/>
    </xf>
    <xf numFmtId="0" fontId="44" fillId="0" borderId="24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2" fillId="0" borderId="22" xfId="2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0" fillId="0" borderId="21" xfId="0" applyBorder="1" applyProtection="1">
      <protection locked="0"/>
    </xf>
    <xf numFmtId="0" fontId="0" fillId="0" borderId="2" xfId="0" applyBorder="1" applyProtection="1">
      <protection locked="0"/>
    </xf>
    <xf numFmtId="0" fontId="23" fillId="0" borderId="13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8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0" fontId="50" fillId="0" borderId="16" xfId="0" applyFont="1" applyBorder="1" applyAlignment="1" applyProtection="1">
      <alignment horizontal="left" vertical="center"/>
      <protection locked="0"/>
    </xf>
    <xf numFmtId="0" fontId="50" fillId="0" borderId="18" xfId="0" applyFont="1" applyBorder="1" applyAlignment="1" applyProtection="1">
      <alignment horizontal="left" vertical="center"/>
      <protection locked="0"/>
    </xf>
    <xf numFmtId="14" fontId="44" fillId="0" borderId="22" xfId="0" applyNumberFormat="1" applyFont="1" applyBorder="1" applyAlignment="1" applyProtection="1">
      <alignment horizontal="left" vertical="center"/>
      <protection locked="0"/>
    </xf>
    <xf numFmtId="14" fontId="44" fillId="0" borderId="23" xfId="0" applyNumberFormat="1" applyFont="1" applyBorder="1" applyAlignment="1" applyProtection="1">
      <alignment horizontal="left" vertical="center"/>
      <protection locked="0"/>
    </xf>
    <xf numFmtId="14" fontId="44" fillId="0" borderId="24" xfId="0" applyNumberFormat="1" applyFont="1" applyBorder="1" applyAlignment="1" applyProtection="1">
      <alignment horizontal="left" vertical="center"/>
      <protection locked="0"/>
    </xf>
    <xf numFmtId="0" fontId="44" fillId="0" borderId="16" xfId="0" applyFont="1" applyBorder="1" applyAlignment="1" applyProtection="1">
      <alignment horizontal="left" vertical="center" shrinkToFit="1"/>
      <protection locked="0"/>
    </xf>
    <xf numFmtId="0" fontId="44" fillId="0" borderId="17" xfId="0" applyFont="1" applyBorder="1" applyAlignment="1" applyProtection="1">
      <alignment horizontal="left" vertical="center" shrinkToFit="1"/>
      <protection locked="0"/>
    </xf>
    <xf numFmtId="0" fontId="44" fillId="0" borderId="18" xfId="0" applyFont="1" applyBorder="1" applyAlignment="1" applyProtection="1">
      <alignment horizontal="left" vertical="center" shrinkToFit="1"/>
      <protection locked="0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44" fillId="0" borderId="17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66" fontId="50" fillId="2" borderId="16" xfId="0" applyNumberFormat="1" applyFont="1" applyFill="1" applyBorder="1" applyAlignment="1" applyProtection="1">
      <alignment horizontal="left" vertical="center" shrinkToFit="1"/>
      <protection locked="0"/>
    </xf>
    <xf numFmtId="166" fontId="50" fillId="2" borderId="17" xfId="0" applyNumberFormat="1" applyFont="1" applyFill="1" applyBorder="1" applyAlignment="1" applyProtection="1">
      <alignment horizontal="left" vertical="center" shrinkToFit="1"/>
      <protection locked="0"/>
    </xf>
    <xf numFmtId="166" fontId="50" fillId="2" borderId="18" xfId="0" applyNumberFormat="1" applyFont="1" applyFill="1" applyBorder="1" applyAlignment="1" applyProtection="1">
      <alignment horizontal="left" vertical="center" shrinkToFit="1"/>
      <protection locked="0"/>
    </xf>
    <xf numFmtId="0" fontId="3" fillId="0" borderId="17" xfId="0" applyFont="1" applyBorder="1" applyAlignment="1">
      <alignment horizontal="center" vertical="center"/>
    </xf>
    <xf numFmtId="177" fontId="44" fillId="0" borderId="12" xfId="0" applyNumberFormat="1" applyFont="1" applyBorder="1" applyAlignment="1" applyProtection="1">
      <alignment horizontal="left" vertical="center"/>
      <protection locked="0"/>
    </xf>
    <xf numFmtId="0" fontId="29" fillId="0" borderId="0" xfId="0" applyFont="1" applyAlignment="1">
      <alignment horizontal="center" vertical="center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21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14" fontId="44" fillId="0" borderId="16" xfId="0" applyNumberFormat="1" applyFont="1" applyBorder="1" applyAlignment="1" applyProtection="1">
      <alignment horizontal="center" vertical="center"/>
      <protection locked="0"/>
    </xf>
    <xf numFmtId="14" fontId="44" fillId="0" borderId="17" xfId="0" applyNumberFormat="1" applyFont="1" applyBorder="1" applyAlignment="1" applyProtection="1">
      <alignment horizontal="center" vertical="center"/>
      <protection locked="0"/>
    </xf>
    <xf numFmtId="9" fontId="50" fillId="0" borderId="16" xfId="3" applyFont="1" applyBorder="1" applyAlignment="1" applyProtection="1">
      <alignment horizontal="center" vertical="center"/>
      <protection locked="0"/>
    </xf>
    <xf numFmtId="9" fontId="50" fillId="0" borderId="17" xfId="3" applyFont="1" applyBorder="1" applyAlignment="1" applyProtection="1">
      <alignment horizontal="center" vertical="center"/>
      <protection locked="0"/>
    </xf>
    <xf numFmtId="9" fontId="50" fillId="0" borderId="18" xfId="3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left"/>
      <protection locked="0"/>
    </xf>
    <xf numFmtId="169" fontId="44" fillId="0" borderId="16" xfId="0" applyNumberFormat="1" applyFont="1" applyBorder="1" applyAlignment="1" applyProtection="1">
      <alignment horizontal="left" vertical="center"/>
      <protection locked="0"/>
    </xf>
    <xf numFmtId="169" fontId="44" fillId="0" borderId="17" xfId="0" applyNumberFormat="1" applyFont="1" applyBorder="1" applyAlignment="1" applyProtection="1">
      <alignment horizontal="left" vertical="center"/>
      <protection locked="0"/>
    </xf>
    <xf numFmtId="169" fontId="44" fillId="0" borderId="18" xfId="0" applyNumberFormat="1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9" fontId="44" fillId="0" borderId="17" xfId="3" applyFont="1" applyBorder="1" applyAlignment="1" applyProtection="1">
      <alignment horizontal="left" vertical="center"/>
      <protection locked="0"/>
    </xf>
    <xf numFmtId="164" fontId="50" fillId="6" borderId="16" xfId="4" applyFont="1" applyFill="1" applyBorder="1" applyAlignment="1" applyProtection="1">
      <alignment horizontal="center" vertical="center"/>
      <protection locked="0"/>
    </xf>
    <xf numFmtId="164" fontId="50" fillId="6" borderId="17" xfId="4" applyFont="1" applyFill="1" applyBorder="1" applyAlignment="1" applyProtection="1">
      <alignment horizontal="center" vertical="center"/>
      <protection locked="0"/>
    </xf>
    <xf numFmtId="164" fontId="50" fillId="6" borderId="18" xfId="4" applyFont="1" applyFill="1" applyBorder="1" applyAlignment="1" applyProtection="1">
      <alignment horizontal="center" vertical="center"/>
      <protection locked="0"/>
    </xf>
  </cellXfs>
  <cellStyles count="5">
    <cellStyle name="Euro" xfId="1" xr:uid="{00000000-0005-0000-0000-000000000000}"/>
    <cellStyle name="Hiperlink" xfId="2" builtinId="8"/>
    <cellStyle name="Normal" xfId="0" builtinId="0"/>
    <cellStyle name="Porcentagem" xfId="3" builtinId="5"/>
    <cellStyle name="Vírgula" xfId="4" builtinId="3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2</xdr:row>
      <xdr:rowOff>47625</xdr:rowOff>
    </xdr:from>
    <xdr:to>
      <xdr:col>9</xdr:col>
      <xdr:colOff>97790</xdr:colOff>
      <xdr:row>3</xdr:row>
      <xdr:rowOff>228600</xdr:rowOff>
    </xdr:to>
    <xdr:pic>
      <xdr:nvPicPr>
        <xdr:cNvPr id="2624" name="Imagem 4">
          <a:extLst>
            <a:ext uri="{FF2B5EF4-FFF2-40B4-BE49-F238E27FC236}">
              <a16:creationId xmlns:a16="http://schemas.microsoft.com/office/drawing/2014/main" id="{4F6B3E22-079D-4F80-BB0C-7A973C9A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5275"/>
          <a:ext cx="10382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57150</xdr:colOff>
      <xdr:row>2</xdr:row>
      <xdr:rowOff>0</xdr:rowOff>
    </xdr:from>
    <xdr:to>
      <xdr:col>38</xdr:col>
      <xdr:colOff>97790</xdr:colOff>
      <xdr:row>3</xdr:row>
      <xdr:rowOff>249555</xdr:rowOff>
    </xdr:to>
    <xdr:pic>
      <xdr:nvPicPr>
        <xdr:cNvPr id="2625" name="Imagem 5">
          <a:extLst>
            <a:ext uri="{FF2B5EF4-FFF2-40B4-BE49-F238E27FC236}">
              <a16:creationId xmlns:a16="http://schemas.microsoft.com/office/drawing/2014/main" id="{C7707AAD-F3CE-43A4-8F8B-14562F50F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247650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73</xdr:row>
      <xdr:rowOff>66675</xdr:rowOff>
    </xdr:from>
    <xdr:to>
      <xdr:col>39</xdr:col>
      <xdr:colOff>20955</xdr:colOff>
      <xdr:row>73</xdr:row>
      <xdr:rowOff>210185</xdr:rowOff>
    </xdr:to>
    <xdr:pic>
      <xdr:nvPicPr>
        <xdr:cNvPr id="2626" name="Imagem 6">
          <a:extLst>
            <a:ext uri="{FF2B5EF4-FFF2-40B4-BE49-F238E27FC236}">
              <a16:creationId xmlns:a16="http://schemas.microsoft.com/office/drawing/2014/main" id="{28AC634F-F1DE-4820-8867-A295EB43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0010775"/>
          <a:ext cx="6534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>
    <tabColor theme="4" tint="-0.499984740745262"/>
  </sheetPr>
  <dimension ref="A1:CD89"/>
  <sheetViews>
    <sheetView tabSelected="1" zoomScaleNormal="100" zoomScaleSheetLayoutView="100" zoomScalePageLayoutView="110" workbookViewId="0">
      <selection activeCell="F42" sqref="F42:AM42"/>
    </sheetView>
  </sheetViews>
  <sheetFormatPr defaultColWidth="2.7109375" defaultRowHeight="15" customHeight="1" x14ac:dyDescent="0.2"/>
  <cols>
    <col min="1" max="1" width="2.7109375" style="1"/>
    <col min="2" max="3" width="0.85546875" style="1" customWidth="1"/>
    <col min="4" max="4" width="3.7109375" style="35" customWidth="1"/>
    <col min="5" max="5" width="0.85546875" style="1" customWidth="1"/>
    <col min="6" max="19" width="2.7109375" style="1" customWidth="1"/>
    <col min="20" max="21" width="3.28515625" style="1" customWidth="1"/>
    <col min="22" max="34" width="2.7109375" style="1" customWidth="1"/>
    <col min="35" max="35" width="2.7109375" style="1"/>
    <col min="36" max="38" width="2.7109375" style="1" customWidth="1"/>
    <col min="39" max="39" width="2.7109375" style="1"/>
    <col min="40" max="41" width="0.85546875" style="1" customWidth="1"/>
    <col min="42" max="42" width="2.140625" style="8" hidden="1" customWidth="1"/>
    <col min="43" max="43" width="5" style="9" hidden="1" customWidth="1"/>
    <col min="44" max="44" width="2" style="7" hidden="1" customWidth="1"/>
    <col min="45" max="45" width="2.7109375" style="8" hidden="1" customWidth="1"/>
    <col min="46" max="46" width="11.140625" style="4" hidden="1" customWidth="1"/>
    <col min="47" max="47" width="2.42578125" style="8" hidden="1" customWidth="1"/>
    <col min="48" max="48" width="2.42578125" style="7" hidden="1" customWidth="1"/>
    <col min="49" max="50" width="1.7109375" style="4" hidden="1" customWidth="1"/>
    <col min="51" max="51" width="3.140625" style="4" hidden="1" customWidth="1"/>
    <col min="52" max="52" width="1.7109375" style="1" hidden="1" customWidth="1"/>
    <col min="53" max="53" width="6.7109375" style="1" hidden="1" customWidth="1"/>
    <col min="54" max="54" width="2.42578125" style="1" hidden="1" customWidth="1"/>
    <col min="55" max="55" width="42.28515625" style="1" hidden="1" customWidth="1"/>
    <col min="56" max="56" width="45.42578125" style="1" hidden="1" customWidth="1"/>
    <col min="57" max="57" width="0" style="1" hidden="1" customWidth="1"/>
    <col min="58" max="16384" width="2.7109375" style="1"/>
  </cols>
  <sheetData>
    <row r="1" spans="1:63" s="123" customFormat="1" ht="1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63" s="123" customFormat="1" ht="5.0999999999999996" customHeight="1" thickBot="1" x14ac:dyDescent="0.25">
      <c r="A2" s="1"/>
      <c r="B2" s="1"/>
      <c r="C2" s="101"/>
      <c r="D2" s="40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4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63" s="123" customFormat="1" ht="21.95" customHeight="1" thickBot="1" x14ac:dyDescent="0.35">
      <c r="A3" s="1"/>
      <c r="B3" s="1"/>
      <c r="C3" s="78"/>
      <c r="D3" s="313"/>
      <c r="E3" s="314"/>
      <c r="F3" s="314"/>
      <c r="G3" s="314"/>
      <c r="H3" s="314"/>
      <c r="I3" s="314"/>
      <c r="J3" s="315"/>
      <c r="K3" s="342" t="s">
        <v>117</v>
      </c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4"/>
      <c r="AG3" s="366" t="s">
        <v>116</v>
      </c>
      <c r="AH3" s="367"/>
      <c r="AI3" s="368"/>
      <c r="AJ3" s="356"/>
      <c r="AK3" s="357"/>
      <c r="AL3" s="357"/>
      <c r="AM3" s="358"/>
      <c r="AN3" s="49"/>
      <c r="AO3" s="88"/>
      <c r="AP3" s="8"/>
      <c r="AQ3" s="9"/>
      <c r="AR3" s="7"/>
      <c r="AS3" s="8"/>
      <c r="AT3" s="4"/>
      <c r="AU3" s="8"/>
      <c r="AV3" s="7"/>
      <c r="AW3" s="4"/>
      <c r="AX3" s="4"/>
      <c r="AY3" s="4"/>
      <c r="AZ3" s="1"/>
      <c r="BA3" s="1"/>
      <c r="BB3" s="1"/>
      <c r="BC3" s="1"/>
      <c r="BD3" s="1"/>
      <c r="BE3" s="1"/>
    </row>
    <row r="4" spans="1:63" s="123" customFormat="1" ht="21.95" customHeight="1" thickBot="1" x14ac:dyDescent="0.25">
      <c r="A4" s="1"/>
      <c r="B4" s="1"/>
      <c r="C4" s="78"/>
      <c r="D4" s="316"/>
      <c r="E4" s="317"/>
      <c r="F4" s="317"/>
      <c r="G4" s="317"/>
      <c r="H4" s="317"/>
      <c r="I4" s="317"/>
      <c r="J4" s="318"/>
      <c r="K4" s="345" t="s">
        <v>89</v>
      </c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7"/>
      <c r="AG4" s="366" t="s">
        <v>141</v>
      </c>
      <c r="AH4" s="367"/>
      <c r="AI4" s="368"/>
      <c r="AJ4" s="359"/>
      <c r="AK4" s="360"/>
      <c r="AL4" s="360"/>
      <c r="AM4" s="361"/>
      <c r="AN4" s="42"/>
      <c r="AO4" s="89"/>
      <c r="AP4" s="8"/>
      <c r="AQ4" s="9"/>
      <c r="AR4" s="7"/>
      <c r="AS4" s="8"/>
      <c r="AT4" s="4"/>
      <c r="AU4" s="8"/>
      <c r="AV4" s="7"/>
      <c r="AW4" s="4"/>
      <c r="AX4" s="4"/>
      <c r="AY4" s="4"/>
      <c r="AZ4" s="1"/>
      <c r="BA4" s="1"/>
      <c r="BB4" s="1"/>
      <c r="BC4" s="1"/>
      <c r="BD4" s="1"/>
      <c r="BE4" s="1"/>
    </row>
    <row r="5" spans="1:63" s="123" customFormat="1" ht="3" customHeight="1" x14ac:dyDescent="0.2">
      <c r="A5" s="1"/>
      <c r="B5" s="1"/>
      <c r="C5" s="78"/>
      <c r="D5" s="35"/>
      <c r="E5" s="1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  <c r="AN5" s="43"/>
      <c r="AO5" s="81"/>
      <c r="AP5" s="8"/>
      <c r="AQ5" s="9"/>
      <c r="AR5" s="7"/>
      <c r="AS5" s="8"/>
      <c r="AT5" s="4"/>
      <c r="AU5" s="8"/>
      <c r="AV5" s="7"/>
      <c r="AW5" s="4"/>
      <c r="AX5" s="4"/>
      <c r="AY5" s="4"/>
      <c r="AZ5" s="1"/>
      <c r="BA5" s="1"/>
      <c r="BB5" s="1"/>
      <c r="BC5" s="1"/>
      <c r="BD5" s="1"/>
      <c r="BE5" s="1"/>
    </row>
    <row r="6" spans="1:63" s="124" customFormat="1" ht="9.9499999999999993" customHeight="1" x14ac:dyDescent="0.2">
      <c r="C6" s="137"/>
      <c r="D6" s="217" t="s">
        <v>54</v>
      </c>
      <c r="E6" s="28"/>
      <c r="F6" s="232" t="s">
        <v>52</v>
      </c>
      <c r="G6" s="233"/>
      <c r="H6" s="233"/>
      <c r="I6" s="234"/>
      <c r="J6" s="232" t="s">
        <v>3</v>
      </c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4"/>
      <c r="AG6" s="73" t="s">
        <v>99</v>
      </c>
      <c r="AH6" s="28"/>
      <c r="AI6" s="74"/>
      <c r="AJ6" s="155" t="s">
        <v>5</v>
      </c>
      <c r="AK6" s="157"/>
      <c r="AL6" s="155" t="s">
        <v>9</v>
      </c>
      <c r="AM6" s="157"/>
      <c r="AN6" s="44"/>
      <c r="AO6" s="90"/>
      <c r="AP6" s="55"/>
      <c r="AQ6" s="56"/>
      <c r="AR6" s="54"/>
      <c r="AS6" s="55"/>
      <c r="AT6" s="28"/>
      <c r="AU6" s="55"/>
      <c r="AV6" s="54"/>
      <c r="AW6" s="28"/>
      <c r="AX6" s="28"/>
      <c r="AY6" s="28"/>
      <c r="AZ6" s="28"/>
      <c r="BA6" s="28"/>
      <c r="BB6" s="28"/>
      <c r="BC6" s="28"/>
      <c r="BD6" s="28"/>
      <c r="BE6" s="28"/>
    </row>
    <row r="7" spans="1:63" s="125" customFormat="1" ht="17.100000000000001" customHeight="1" x14ac:dyDescent="0.2">
      <c r="C7" s="137"/>
      <c r="D7" s="241"/>
      <c r="E7" s="70"/>
      <c r="F7" s="235"/>
      <c r="G7" s="236"/>
      <c r="H7" s="236"/>
      <c r="I7" s="237"/>
      <c r="J7" s="225" t="s">
        <v>265</v>
      </c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362"/>
      <c r="AE7" s="362"/>
      <c r="AF7" s="226"/>
      <c r="AG7" s="369">
        <v>1058</v>
      </c>
      <c r="AH7" s="370"/>
      <c r="AI7" s="371"/>
      <c r="AJ7" s="225"/>
      <c r="AK7" s="226"/>
      <c r="AL7" s="225"/>
      <c r="AM7" s="226"/>
      <c r="AN7" s="79"/>
      <c r="AO7" s="91"/>
      <c r="AP7" s="57"/>
      <c r="AQ7" s="58"/>
      <c r="AR7" s="57"/>
      <c r="AS7" s="57"/>
      <c r="AT7" s="59"/>
      <c r="AU7" s="57"/>
      <c r="AV7" s="60"/>
      <c r="AW7" s="57"/>
      <c r="AX7" s="57"/>
      <c r="AY7" s="57"/>
      <c r="AZ7" s="36"/>
      <c r="BA7" s="36"/>
      <c r="BB7" s="36"/>
      <c r="BC7" s="36"/>
      <c r="BD7" s="36"/>
      <c r="BE7" s="70"/>
    </row>
    <row r="8" spans="1:63" s="123" customFormat="1" ht="3" customHeight="1" x14ac:dyDescent="0.2">
      <c r="C8" s="137"/>
      <c r="D8" s="218"/>
      <c r="E8" s="1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43"/>
      <c r="AO8" s="81"/>
      <c r="AP8" s="8"/>
      <c r="AQ8" s="9"/>
      <c r="AR8" s="8"/>
      <c r="AS8" s="8"/>
      <c r="AT8" s="4"/>
      <c r="AU8" s="8"/>
      <c r="AV8" s="7"/>
      <c r="AW8" s="4"/>
      <c r="AX8" s="4"/>
      <c r="AY8" s="4"/>
      <c r="AZ8" s="1"/>
      <c r="BA8" s="1"/>
      <c r="BB8" s="1"/>
      <c r="BC8" s="1"/>
      <c r="BD8" s="1"/>
      <c r="BE8" s="1"/>
    </row>
    <row r="9" spans="1:63" s="121" customFormat="1" ht="9.9499999999999993" customHeight="1" x14ac:dyDescent="0.2">
      <c r="C9" s="137"/>
      <c r="D9" s="218"/>
      <c r="E9" s="4"/>
      <c r="F9" s="363" t="s">
        <v>7</v>
      </c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5"/>
      <c r="U9" s="363" t="s">
        <v>50</v>
      </c>
      <c r="V9" s="365"/>
      <c r="W9" s="363" t="s">
        <v>30</v>
      </c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64"/>
      <c r="AK9" s="364"/>
      <c r="AL9" s="364"/>
      <c r="AM9" s="365"/>
      <c r="AN9" s="45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63" s="125" customFormat="1" ht="17.100000000000001" customHeight="1" x14ac:dyDescent="0.2">
      <c r="C10" s="137"/>
      <c r="D10" s="241"/>
      <c r="E10" s="70"/>
      <c r="F10" s="225" t="s">
        <v>265</v>
      </c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226"/>
      <c r="U10" s="225" t="s">
        <v>265</v>
      </c>
      <c r="V10" s="226"/>
      <c r="W10" s="332" t="s">
        <v>265</v>
      </c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4"/>
      <c r="AN10" s="82"/>
      <c r="AO10" s="70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70"/>
    </row>
    <row r="11" spans="1:63" s="123" customFormat="1" ht="3" customHeight="1" x14ac:dyDescent="0.2">
      <c r="C11" s="138"/>
      <c r="D11" s="218"/>
      <c r="E11" s="1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43"/>
      <c r="AO11" s="81"/>
      <c r="AP11" s="8"/>
      <c r="AQ11" s="9"/>
      <c r="AR11" s="7"/>
      <c r="AS11" s="8"/>
      <c r="AT11" s="4"/>
      <c r="AU11" s="8"/>
      <c r="AV11" s="7"/>
      <c r="AW11" s="4"/>
      <c r="AX11" s="4"/>
      <c r="AY11" s="4"/>
      <c r="AZ11" s="1"/>
      <c r="BA11" s="1"/>
      <c r="BB11" s="1"/>
      <c r="BC11" s="1"/>
      <c r="BD11" s="1"/>
      <c r="BE11" s="1"/>
    </row>
    <row r="12" spans="1:63" s="123" customFormat="1" ht="9.9499999999999993" customHeight="1" x14ac:dyDescent="0.2">
      <c r="C12" s="138"/>
      <c r="D12" s="218"/>
      <c r="E12" s="1"/>
      <c r="F12" s="185" t="s">
        <v>29</v>
      </c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7"/>
      <c r="W12" s="173" t="s">
        <v>6</v>
      </c>
      <c r="X12" s="174"/>
      <c r="Y12" s="185" t="s">
        <v>4</v>
      </c>
      <c r="Z12" s="186"/>
      <c r="AA12" s="186"/>
      <c r="AB12" s="186"/>
      <c r="AC12" s="187"/>
      <c r="AD12" s="173" t="s">
        <v>10</v>
      </c>
      <c r="AE12" s="172"/>
      <c r="AF12" s="172"/>
      <c r="AG12" s="172"/>
      <c r="AH12" s="172"/>
      <c r="AI12" s="172"/>
      <c r="AJ12" s="172"/>
      <c r="AK12" s="172"/>
      <c r="AL12" s="172"/>
      <c r="AM12" s="174"/>
      <c r="AN12" s="43"/>
      <c r="AO12" s="81"/>
      <c r="AP12" s="8"/>
      <c r="AQ12" s="9"/>
      <c r="AR12" s="7"/>
      <c r="AS12" s="8"/>
      <c r="AT12" s="4"/>
      <c r="AU12" s="8"/>
      <c r="AV12" s="7"/>
      <c r="AW12" s="4"/>
      <c r="AX12" s="4"/>
      <c r="AY12" s="4"/>
      <c r="AZ12" s="1"/>
      <c r="BA12" s="1"/>
      <c r="BB12" s="1"/>
      <c r="BC12" s="1"/>
      <c r="BD12" s="1"/>
      <c r="BE12" s="1"/>
    </row>
    <row r="13" spans="1:63" s="123" customFormat="1" ht="17.100000000000001" customHeight="1" x14ac:dyDescent="0.2">
      <c r="C13" s="138"/>
      <c r="D13" s="218"/>
      <c r="E13" s="1"/>
      <c r="F13" s="225" t="s">
        <v>265</v>
      </c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48">
        <v>10</v>
      </c>
      <c r="X13" s="349"/>
      <c r="Y13" s="350" t="s">
        <v>265</v>
      </c>
      <c r="Z13" s="351"/>
      <c r="AA13" s="351"/>
      <c r="AB13" s="351"/>
      <c r="AC13" s="352"/>
      <c r="AD13" s="353"/>
      <c r="AE13" s="354"/>
      <c r="AF13" s="354"/>
      <c r="AG13" s="354"/>
      <c r="AH13" s="354"/>
      <c r="AI13" s="354"/>
      <c r="AJ13" s="354"/>
      <c r="AK13" s="354"/>
      <c r="AL13" s="354"/>
      <c r="AM13" s="355"/>
      <c r="AN13" s="43"/>
      <c r="AO13" s="81"/>
      <c r="AP13" s="8"/>
      <c r="AQ13" s="9"/>
      <c r="AR13" s="7"/>
      <c r="AS13" s="8"/>
      <c r="AT13" s="4"/>
      <c r="AU13" s="8"/>
      <c r="AV13" s="7"/>
      <c r="AW13" s="4"/>
      <c r="AX13" s="4"/>
      <c r="AY13" s="4"/>
      <c r="AZ13" s="1"/>
      <c r="BA13" s="1"/>
      <c r="BB13" s="1"/>
      <c r="BC13" s="1"/>
      <c r="BD13" s="1"/>
      <c r="BE13" s="1"/>
    </row>
    <row r="14" spans="1:63" s="123" customFormat="1" ht="3" customHeight="1" x14ac:dyDescent="0.2">
      <c r="C14" s="138"/>
      <c r="D14" s="218"/>
      <c r="E14" s="1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43"/>
      <c r="AO14" s="81"/>
      <c r="AP14" s="8"/>
      <c r="AQ14" s="9"/>
      <c r="AR14" s="7"/>
      <c r="AS14" s="8"/>
      <c r="AT14" s="4"/>
      <c r="AU14" s="8"/>
      <c r="AV14" s="7"/>
      <c r="AW14" s="4"/>
      <c r="AX14" s="4"/>
      <c r="AY14" s="4"/>
      <c r="AZ14" s="1"/>
      <c r="BA14" s="1"/>
      <c r="BB14" s="1"/>
      <c r="BC14" s="1"/>
      <c r="BD14" s="1"/>
      <c r="BE14" s="1"/>
    </row>
    <row r="15" spans="1:63" s="119" customFormat="1" ht="9.9499999999999993" customHeight="1" x14ac:dyDescent="0.2">
      <c r="C15" s="139"/>
      <c r="D15" s="218"/>
      <c r="E15" s="5"/>
      <c r="F15" s="337" t="s">
        <v>134</v>
      </c>
      <c r="G15" s="338"/>
      <c r="H15" s="338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9"/>
      <c r="W15" s="375" t="s">
        <v>266</v>
      </c>
      <c r="X15" s="376"/>
      <c r="Y15" s="376"/>
      <c r="Z15" s="376"/>
      <c r="AA15" s="376"/>
      <c r="AB15" s="376"/>
      <c r="AC15" s="376"/>
      <c r="AD15" s="376"/>
      <c r="AE15" s="376"/>
      <c r="AF15" s="376"/>
      <c r="AG15" s="376"/>
      <c r="AH15" s="376"/>
      <c r="AI15" s="376"/>
      <c r="AJ15" s="376"/>
      <c r="AK15" s="376"/>
      <c r="AL15" s="376"/>
      <c r="AM15" s="377"/>
      <c r="AN15" s="46"/>
      <c r="AO15" s="5"/>
      <c r="AP15" s="16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H15" s="121"/>
      <c r="BI15" s="121"/>
      <c r="BJ15" s="121"/>
      <c r="BK15" s="121"/>
    </row>
    <row r="16" spans="1:63" s="126" customFormat="1" ht="17.100000000000001" customHeight="1" x14ac:dyDescent="0.2">
      <c r="C16" s="140"/>
      <c r="D16" s="219"/>
      <c r="E16" s="36"/>
      <c r="F16" s="336" t="s">
        <v>265</v>
      </c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4"/>
      <c r="W16" s="332" t="s">
        <v>265</v>
      </c>
      <c r="X16" s="333"/>
      <c r="Y16" s="333"/>
      <c r="Z16" s="333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4"/>
      <c r="AN16" s="83"/>
      <c r="AO16" s="36"/>
      <c r="AP16" s="37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H16" s="127"/>
      <c r="BI16" s="127"/>
      <c r="BJ16" s="127"/>
      <c r="BK16" s="127"/>
    </row>
    <row r="17" spans="3:82" s="123" customFormat="1" ht="3" customHeight="1" x14ac:dyDescent="0.2">
      <c r="C17" s="138"/>
      <c r="D17" s="141"/>
      <c r="E17" s="1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  <c r="AK17" s="335"/>
      <c r="AL17" s="335"/>
      <c r="AM17" s="335"/>
      <c r="AN17" s="43"/>
      <c r="AO17" s="81"/>
      <c r="AP17" s="8"/>
      <c r="AQ17" s="9"/>
      <c r="AR17" s="8"/>
      <c r="AS17" s="8"/>
      <c r="AT17" s="4"/>
      <c r="AU17" s="8"/>
      <c r="AV17" s="7"/>
      <c r="AW17" s="4"/>
      <c r="AX17" s="4"/>
      <c r="AY17" s="4"/>
      <c r="AZ17" s="1"/>
      <c r="BA17" s="1"/>
      <c r="BB17" s="1"/>
      <c r="BC17" s="1"/>
      <c r="BD17" s="1"/>
      <c r="BE17" s="1"/>
    </row>
    <row r="18" spans="3:82" s="121" customFormat="1" ht="9.9499999999999993" customHeight="1" x14ac:dyDescent="0.2">
      <c r="C18" s="142"/>
      <c r="D18" s="268" t="s">
        <v>85</v>
      </c>
      <c r="E18" s="4"/>
      <c r="F18" s="29" t="s">
        <v>74</v>
      </c>
      <c r="G18" s="30"/>
      <c r="H18" s="304" t="s">
        <v>100</v>
      </c>
      <c r="I18" s="307"/>
      <c r="J18" s="156" t="s">
        <v>73</v>
      </c>
      <c r="K18" s="157"/>
      <c r="L18" s="155" t="s">
        <v>55</v>
      </c>
      <c r="M18" s="156"/>
      <c r="N18" s="156"/>
      <c r="O18" s="157"/>
      <c r="P18" s="188" t="s">
        <v>114</v>
      </c>
      <c r="Q18" s="189"/>
      <c r="R18" s="189"/>
      <c r="S18" s="189"/>
      <c r="T18" s="155" t="s">
        <v>72</v>
      </c>
      <c r="U18" s="156"/>
      <c r="V18" s="156"/>
      <c r="W18" s="157"/>
      <c r="X18" s="155" t="s">
        <v>139</v>
      </c>
      <c r="Y18" s="156"/>
      <c r="Z18" s="155" t="s">
        <v>140</v>
      </c>
      <c r="AA18" s="156"/>
      <c r="AB18" s="157"/>
      <c r="AC18" s="178" t="s">
        <v>48</v>
      </c>
      <c r="AD18" s="178"/>
      <c r="AE18" s="178"/>
      <c r="AF18" s="178"/>
      <c r="AG18" s="178"/>
      <c r="AH18" s="304" t="s">
        <v>106</v>
      </c>
      <c r="AI18" s="305"/>
      <c r="AJ18" s="306"/>
      <c r="AK18" s="188" t="s">
        <v>115</v>
      </c>
      <c r="AL18" s="189"/>
      <c r="AM18" s="190"/>
      <c r="AN18" s="45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158" t="s">
        <v>142</v>
      </c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28"/>
      <c r="BY18" s="128"/>
      <c r="BZ18" s="128"/>
      <c r="CA18" s="128"/>
      <c r="CB18" s="128"/>
      <c r="CC18" s="128"/>
      <c r="CD18" s="128"/>
    </row>
    <row r="19" spans="3:82" s="126" customFormat="1" ht="17.100000000000001" customHeight="1" x14ac:dyDescent="0.2">
      <c r="C19" s="140"/>
      <c r="D19" s="268"/>
      <c r="E19" s="36"/>
      <c r="F19" s="176"/>
      <c r="G19" s="177"/>
      <c r="H19" s="311" t="s">
        <v>46</v>
      </c>
      <c r="I19" s="312"/>
      <c r="J19" s="176">
        <v>0</v>
      </c>
      <c r="K19" s="177"/>
      <c r="L19" s="324"/>
      <c r="M19" s="325"/>
      <c r="N19" s="325"/>
      <c r="O19" s="326"/>
      <c r="P19" s="378"/>
      <c r="Q19" s="379"/>
      <c r="R19" s="379"/>
      <c r="S19" s="379"/>
      <c r="T19" s="228"/>
      <c r="U19" s="229"/>
      <c r="V19" s="229"/>
      <c r="W19" s="230"/>
      <c r="X19" s="327">
        <v>1</v>
      </c>
      <c r="Y19" s="328"/>
      <c r="Z19" s="329" t="s">
        <v>265</v>
      </c>
      <c r="AA19" s="330"/>
      <c r="AB19" s="331"/>
      <c r="AC19" s="179" t="s">
        <v>265</v>
      </c>
      <c r="AD19" s="180"/>
      <c r="AE19" s="180"/>
      <c r="AF19" s="180"/>
      <c r="AG19" s="181"/>
      <c r="AH19" s="308" t="s">
        <v>101</v>
      </c>
      <c r="AI19" s="309"/>
      <c r="AJ19" s="310"/>
      <c r="AK19" s="389"/>
      <c r="AL19" s="390"/>
      <c r="AM19" s="391"/>
      <c r="AN19" s="83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28"/>
      <c r="BY19" s="128"/>
      <c r="BZ19" s="128"/>
      <c r="CA19" s="128"/>
      <c r="CB19" s="128"/>
      <c r="CC19" s="128"/>
      <c r="CD19" s="128"/>
    </row>
    <row r="20" spans="3:82" s="123" customFormat="1" ht="3" customHeight="1" x14ac:dyDescent="0.2">
      <c r="C20" s="138"/>
      <c r="D20" s="268"/>
      <c r="E20" s="1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43"/>
      <c r="AO20" s="81"/>
      <c r="AP20" s="8"/>
      <c r="AQ20" s="9"/>
      <c r="AR20" s="7"/>
      <c r="AS20" s="8"/>
      <c r="AT20" s="4"/>
      <c r="AU20" s="8"/>
      <c r="AV20" s="7"/>
      <c r="AW20" s="4"/>
      <c r="AX20" s="4"/>
      <c r="AY20" s="4"/>
      <c r="AZ20" s="1"/>
      <c r="BA20" s="1"/>
      <c r="BB20" s="1"/>
      <c r="BC20" s="1"/>
      <c r="BD20" s="1"/>
      <c r="BE20" s="1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28"/>
      <c r="BY20" s="128"/>
      <c r="BZ20" s="128"/>
      <c r="CA20" s="128"/>
      <c r="CB20" s="128"/>
      <c r="CC20" s="128"/>
      <c r="CD20" s="128"/>
    </row>
    <row r="21" spans="3:82" s="121" customFormat="1" ht="9.9499999999999993" customHeight="1" x14ac:dyDescent="0.2">
      <c r="C21" s="142"/>
      <c r="D21" s="268"/>
      <c r="E21" s="4"/>
      <c r="F21" s="173" t="s">
        <v>49</v>
      </c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13" t="s">
        <v>102</v>
      </c>
      <c r="S21" s="173" t="s">
        <v>26</v>
      </c>
      <c r="T21" s="340"/>
      <c r="U21" s="341"/>
      <c r="V21" s="173" t="s">
        <v>27</v>
      </c>
      <c r="W21" s="172"/>
      <c r="X21" s="172"/>
      <c r="Y21" s="172"/>
      <c r="Z21" s="174"/>
      <c r="AA21" s="173" t="s">
        <v>103</v>
      </c>
      <c r="AB21" s="172"/>
      <c r="AC21" s="173" t="s">
        <v>104</v>
      </c>
      <c r="AD21" s="174"/>
      <c r="AE21" s="173" t="s">
        <v>47</v>
      </c>
      <c r="AF21" s="387"/>
      <c r="AG21" s="279" t="s">
        <v>105</v>
      </c>
      <c r="AH21" s="280"/>
      <c r="AI21" s="281"/>
      <c r="AJ21" s="182" t="s">
        <v>107</v>
      </c>
      <c r="AK21" s="183"/>
      <c r="AL21" s="183"/>
      <c r="AM21" s="184"/>
      <c r="AN21" s="45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28"/>
      <c r="BY21" s="128"/>
      <c r="BZ21" s="128"/>
      <c r="CA21" s="128"/>
      <c r="CB21" s="128"/>
      <c r="CC21" s="128"/>
      <c r="CD21" s="128"/>
    </row>
    <row r="22" spans="3:82" s="125" customFormat="1" ht="17.100000000000001" customHeight="1" x14ac:dyDescent="0.2">
      <c r="C22" s="137"/>
      <c r="D22" s="268"/>
      <c r="E22" s="70"/>
      <c r="F22" s="285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80" t="s">
        <v>36</v>
      </c>
      <c r="S22" s="282" t="s">
        <v>44</v>
      </c>
      <c r="T22" s="283"/>
      <c r="U22" s="284"/>
      <c r="V22" s="384"/>
      <c r="W22" s="385"/>
      <c r="X22" s="385"/>
      <c r="Y22" s="385"/>
      <c r="Z22" s="386"/>
      <c r="AA22" s="274">
        <v>0</v>
      </c>
      <c r="AB22" s="388"/>
      <c r="AC22" s="274">
        <v>0</v>
      </c>
      <c r="AD22" s="275"/>
      <c r="AE22" s="176"/>
      <c r="AF22" s="383"/>
      <c r="AG22" s="380"/>
      <c r="AH22" s="381"/>
      <c r="AI22" s="382"/>
      <c r="AJ22" s="282">
        <f>P19+AF32-1</f>
        <v>-1</v>
      </c>
      <c r="AK22" s="283"/>
      <c r="AL22" s="283"/>
      <c r="AM22" s="284"/>
      <c r="AN22" s="79"/>
      <c r="AO22" s="70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70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28"/>
      <c r="BY22" s="128"/>
      <c r="BZ22" s="128"/>
      <c r="CA22" s="128"/>
      <c r="CB22" s="128"/>
      <c r="CC22" s="128"/>
      <c r="CD22" s="128"/>
    </row>
    <row r="23" spans="3:82" s="125" customFormat="1" ht="8.25" customHeight="1" x14ac:dyDescent="0.2">
      <c r="C23" s="137"/>
      <c r="D23" s="268"/>
      <c r="E23" s="70"/>
      <c r="F23" s="155" t="s">
        <v>143</v>
      </c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5" t="s">
        <v>144</v>
      </c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7"/>
      <c r="AD23" s="155" t="s">
        <v>256</v>
      </c>
      <c r="AE23" s="156"/>
      <c r="AF23" s="156"/>
      <c r="AG23" s="156"/>
      <c r="AH23" s="156"/>
      <c r="AI23" s="156"/>
      <c r="AJ23" s="156"/>
      <c r="AK23" s="156"/>
      <c r="AL23" s="156"/>
      <c r="AM23" s="157"/>
      <c r="AN23" s="79"/>
      <c r="AO23" s="70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70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28"/>
      <c r="BY23" s="128"/>
      <c r="BZ23" s="128"/>
      <c r="CA23" s="128"/>
      <c r="CB23" s="128"/>
      <c r="CC23" s="128"/>
      <c r="CD23" s="128"/>
    </row>
    <row r="24" spans="3:82" s="123" customFormat="1" ht="14.25" customHeight="1" x14ac:dyDescent="0.2">
      <c r="C24" s="138"/>
      <c r="D24" s="268"/>
      <c r="E24" s="1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152" t="str">
        <f>_xlfn.IFNA(VLOOKUP(F24,'DEPTO (Pesquisável)'!B2:C96,2,0)," ")</f>
        <v xml:space="preserve"> </v>
      </c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4"/>
      <c r="AD24" s="152" t="str">
        <f>_xlfn.IFNA(VLOOKUP(F24,'DEPTO (Pesquisável)'!B2:G96,6,0)," ")</f>
        <v xml:space="preserve"> </v>
      </c>
      <c r="AE24" s="153"/>
      <c r="AF24" s="153"/>
      <c r="AG24" s="153"/>
      <c r="AH24" s="153"/>
      <c r="AI24" s="153"/>
      <c r="AJ24" s="153"/>
      <c r="AK24" s="153"/>
      <c r="AL24" s="153"/>
      <c r="AM24" s="154"/>
      <c r="AN24" s="43"/>
      <c r="AO24" s="81"/>
      <c r="AP24" s="8"/>
      <c r="AQ24" s="9"/>
      <c r="AR24" s="7"/>
      <c r="AS24" s="8"/>
      <c r="AT24" s="4"/>
      <c r="AU24" s="8"/>
      <c r="AV24" s="7"/>
      <c r="AW24" s="4"/>
      <c r="AX24" s="4"/>
      <c r="AY24" s="4"/>
      <c r="AZ24" s="1"/>
      <c r="BA24" s="1"/>
      <c r="BB24" s="1"/>
      <c r="BC24" s="1"/>
      <c r="BD24" s="1"/>
      <c r="BE24" s="1"/>
      <c r="BF24" s="158"/>
      <c r="BG24" s="158"/>
      <c r="BH24" s="158"/>
      <c r="BI24" s="158"/>
      <c r="BJ24" s="158"/>
      <c r="BK24" s="158"/>
      <c r="BL24" s="158"/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28"/>
      <c r="BY24" s="128"/>
      <c r="BZ24" s="128"/>
      <c r="CA24" s="128"/>
      <c r="CB24" s="128"/>
      <c r="CC24" s="128"/>
      <c r="CD24" s="128"/>
    </row>
    <row r="25" spans="3:82" s="121" customFormat="1" ht="9.9499999999999993" customHeight="1" x14ac:dyDescent="0.2">
      <c r="C25" s="142"/>
      <c r="D25" s="217" t="s">
        <v>86</v>
      </c>
      <c r="E25" s="4"/>
      <c r="F25" s="272" t="s">
        <v>0</v>
      </c>
      <c r="G25" s="178"/>
      <c r="H25" s="178"/>
      <c r="I25" s="178"/>
      <c r="J25" s="178"/>
      <c r="K25" s="273"/>
      <c r="L25" s="287" t="s">
        <v>25</v>
      </c>
      <c r="M25" s="288"/>
      <c r="N25" s="288"/>
      <c r="O25" s="288"/>
      <c r="P25" s="288"/>
      <c r="Q25" s="289"/>
      <c r="R25" s="155" t="s">
        <v>16</v>
      </c>
      <c r="S25" s="156"/>
      <c r="T25" s="156"/>
      <c r="U25" s="156"/>
      <c r="V25" s="157"/>
      <c r="W25" s="188" t="s">
        <v>81</v>
      </c>
      <c r="X25" s="189"/>
      <c r="Y25" s="189"/>
      <c r="Z25" s="190"/>
      <c r="AA25" s="188" t="s">
        <v>21</v>
      </c>
      <c r="AB25" s="189"/>
      <c r="AC25" s="189"/>
      <c r="AD25" s="190"/>
      <c r="AE25" s="188" t="s">
        <v>22</v>
      </c>
      <c r="AF25" s="189"/>
      <c r="AG25" s="190"/>
      <c r="AH25" s="287" t="s">
        <v>8</v>
      </c>
      <c r="AI25" s="289"/>
      <c r="AJ25" s="188" t="s">
        <v>108</v>
      </c>
      <c r="AK25" s="189"/>
      <c r="AL25" s="189"/>
      <c r="AM25" s="190"/>
      <c r="AN25" s="45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28"/>
      <c r="BY25" s="128"/>
      <c r="BZ25" s="128"/>
      <c r="CA25" s="128"/>
      <c r="CB25" s="128"/>
      <c r="CC25" s="128"/>
      <c r="CD25" s="128"/>
    </row>
    <row r="26" spans="3:82" s="129" customFormat="1" ht="17.100000000000001" customHeight="1" x14ac:dyDescent="0.2">
      <c r="C26" s="143"/>
      <c r="D26" s="218"/>
      <c r="E26" s="26"/>
      <c r="F26" s="290">
        <v>15</v>
      </c>
      <c r="G26" s="291"/>
      <c r="H26" s="291"/>
      <c r="I26" s="291"/>
      <c r="J26" s="291"/>
      <c r="K26" s="292"/>
      <c r="L26" s="293">
        <v>12</v>
      </c>
      <c r="M26" s="294"/>
      <c r="N26" s="294"/>
      <c r="O26" s="294"/>
      <c r="P26" s="294"/>
      <c r="Q26" s="295"/>
      <c r="R26" s="276" t="s">
        <v>265</v>
      </c>
      <c r="S26" s="277"/>
      <c r="T26" s="277"/>
      <c r="U26" s="277"/>
      <c r="V26" s="278"/>
      <c r="W26" s="228"/>
      <c r="X26" s="229"/>
      <c r="Y26" s="229"/>
      <c r="Z26" s="230"/>
      <c r="AA26" s="269"/>
      <c r="AB26" s="270"/>
      <c r="AC26" s="270"/>
      <c r="AD26" s="271"/>
      <c r="AE26" s="269"/>
      <c r="AF26" s="270"/>
      <c r="AG26" s="271"/>
      <c r="AH26" s="303"/>
      <c r="AI26" s="239"/>
      <c r="AJ26" s="228"/>
      <c r="AK26" s="229"/>
      <c r="AL26" s="229"/>
      <c r="AM26" s="230"/>
      <c r="AN26" s="47"/>
      <c r="AO26" s="92"/>
      <c r="AP26" s="31"/>
      <c r="AQ26" s="26"/>
      <c r="AR26" s="76"/>
      <c r="AS26" s="76"/>
      <c r="AT26" s="76"/>
      <c r="AU26" s="76"/>
      <c r="AV26" s="26"/>
      <c r="AW26" s="26"/>
      <c r="AX26" s="26"/>
      <c r="AY26" s="26"/>
      <c r="AZ26" s="26"/>
      <c r="BA26" s="75"/>
      <c r="BB26" s="75"/>
      <c r="BC26" s="75"/>
      <c r="BD26" s="75"/>
      <c r="BE26" s="75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28"/>
      <c r="BY26" s="128"/>
      <c r="BZ26" s="128"/>
      <c r="CA26" s="128"/>
      <c r="CB26" s="128"/>
      <c r="CC26" s="128"/>
      <c r="CD26" s="128"/>
    </row>
    <row r="27" spans="3:82" s="123" customFormat="1" ht="3" customHeight="1" x14ac:dyDescent="0.2">
      <c r="C27" s="138"/>
      <c r="D27" s="218"/>
      <c r="E27" s="1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84"/>
      <c r="AO27" s="93"/>
      <c r="AP27" s="8"/>
      <c r="AQ27" s="9"/>
      <c r="AR27" s="7"/>
      <c r="AS27" s="8"/>
      <c r="AT27" s="4"/>
      <c r="AU27" s="8"/>
      <c r="AV27" s="7"/>
      <c r="AW27" s="4"/>
      <c r="AX27" s="4"/>
      <c r="AY27" s="4"/>
      <c r="AZ27" s="1"/>
      <c r="BA27" s="1"/>
      <c r="BB27" s="1"/>
      <c r="BC27" s="1"/>
      <c r="BD27" s="1"/>
      <c r="BE27" s="1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28"/>
      <c r="BY27" s="128"/>
      <c r="BZ27" s="128"/>
      <c r="CA27" s="128"/>
      <c r="CB27" s="128"/>
      <c r="CC27" s="128"/>
      <c r="CD27" s="128"/>
    </row>
    <row r="28" spans="3:82" s="119" customFormat="1" ht="9.9499999999999993" customHeight="1" x14ac:dyDescent="0.2">
      <c r="C28" s="139"/>
      <c r="D28" s="218"/>
      <c r="E28" s="5"/>
      <c r="F28" s="173" t="s">
        <v>23</v>
      </c>
      <c r="G28" s="172"/>
      <c r="H28" s="172"/>
      <c r="I28" s="172"/>
      <c r="J28" s="172"/>
      <c r="K28" s="172"/>
      <c r="L28" s="172"/>
      <c r="M28" s="172"/>
      <c r="N28" s="173" t="s">
        <v>24</v>
      </c>
      <c r="O28" s="172"/>
      <c r="P28" s="174"/>
      <c r="Q28" s="172" t="s">
        <v>51</v>
      </c>
      <c r="R28" s="172"/>
      <c r="S28" s="172"/>
      <c r="T28" s="172"/>
      <c r="U28" s="172"/>
      <c r="V28" s="172"/>
      <c r="W28" s="172"/>
      <c r="X28" s="172"/>
      <c r="Y28" s="173" t="s">
        <v>18</v>
      </c>
      <c r="Z28" s="172"/>
      <c r="AA28" s="172"/>
      <c r="AB28" s="172"/>
      <c r="AC28" s="172"/>
      <c r="AD28" s="172"/>
      <c r="AE28" s="174"/>
      <c r="AF28" s="172" t="s">
        <v>19</v>
      </c>
      <c r="AG28" s="172"/>
      <c r="AH28" s="172"/>
      <c r="AI28" s="172"/>
      <c r="AJ28" s="185" t="s">
        <v>20</v>
      </c>
      <c r="AK28" s="186"/>
      <c r="AL28" s="186"/>
      <c r="AM28" s="187"/>
      <c r="AN28" s="46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28"/>
      <c r="BY28" s="128"/>
      <c r="BZ28" s="128"/>
      <c r="CA28" s="128"/>
      <c r="CB28" s="128"/>
      <c r="CC28" s="128"/>
      <c r="CD28" s="128"/>
    </row>
    <row r="29" spans="3:82" s="129" customFormat="1" ht="17.100000000000001" customHeight="1" x14ac:dyDescent="0.2">
      <c r="C29" s="143"/>
      <c r="D29" s="219"/>
      <c r="E29" s="26"/>
      <c r="F29" s="193"/>
      <c r="G29" s="194"/>
      <c r="H29" s="194"/>
      <c r="I29" s="194"/>
      <c r="J29" s="194"/>
      <c r="K29" s="194"/>
      <c r="L29" s="194"/>
      <c r="M29" s="194"/>
      <c r="N29" s="170"/>
      <c r="O29" s="227"/>
      <c r="P29" s="171"/>
      <c r="Q29" s="194"/>
      <c r="R29" s="194"/>
      <c r="S29" s="194"/>
      <c r="T29" s="194"/>
      <c r="U29" s="194"/>
      <c r="V29" s="194"/>
      <c r="W29" s="194"/>
      <c r="X29" s="194"/>
      <c r="Y29" s="297"/>
      <c r="Z29" s="298"/>
      <c r="AA29" s="298"/>
      <c r="AB29" s="298"/>
      <c r="AC29" s="298"/>
      <c r="AD29" s="298"/>
      <c r="AE29" s="299"/>
      <c r="AF29" s="194"/>
      <c r="AG29" s="194"/>
      <c r="AH29" s="194"/>
      <c r="AI29" s="194"/>
      <c r="AJ29" s="300"/>
      <c r="AK29" s="301"/>
      <c r="AL29" s="301"/>
      <c r="AM29" s="302"/>
      <c r="AN29" s="47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32"/>
      <c r="BE29" s="32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28"/>
      <c r="BY29" s="128"/>
      <c r="BZ29" s="128"/>
      <c r="CA29" s="128"/>
      <c r="CB29" s="128"/>
      <c r="CC29" s="128"/>
      <c r="CD29" s="128"/>
    </row>
    <row r="30" spans="3:82" s="123" customFormat="1" ht="3" customHeight="1" x14ac:dyDescent="0.2">
      <c r="C30" s="138"/>
      <c r="D30" s="141"/>
      <c r="E30" s="1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43"/>
      <c r="AO30" s="81"/>
      <c r="AP30" s="8"/>
      <c r="AQ30" s="1"/>
      <c r="AR30" s="1"/>
      <c r="AS30" s="1"/>
      <c r="AT30" s="1"/>
      <c r="AU30" s="8"/>
      <c r="AV30" s="7"/>
      <c r="AW30" s="4"/>
      <c r="AX30" s="4"/>
      <c r="AY30" s="4"/>
      <c r="AZ30" s="1"/>
      <c r="BA30" s="1"/>
      <c r="BB30" s="1"/>
      <c r="BC30" s="1"/>
      <c r="BD30" s="1"/>
      <c r="BE30" s="1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28"/>
      <c r="BY30" s="128"/>
      <c r="BZ30" s="128"/>
      <c r="CA30" s="128"/>
      <c r="CB30" s="128"/>
      <c r="CC30" s="128"/>
      <c r="CD30" s="128"/>
    </row>
    <row r="31" spans="3:82" s="119" customFormat="1" ht="9.9499999999999993" customHeight="1" x14ac:dyDescent="0.2">
      <c r="C31" s="139"/>
      <c r="D31" s="217" t="s">
        <v>87</v>
      </c>
      <c r="E31" s="5"/>
      <c r="F31" s="243" t="s">
        <v>110</v>
      </c>
      <c r="G31" s="192"/>
      <c r="H31" s="279" t="s">
        <v>77</v>
      </c>
      <c r="I31" s="280"/>
      <c r="J31" s="280"/>
      <c r="K31" s="280"/>
      <c r="L31" s="280"/>
      <c r="M31" s="182" t="s">
        <v>78</v>
      </c>
      <c r="N31" s="183"/>
      <c r="O31" s="183"/>
      <c r="P31" s="183"/>
      <c r="Q31" s="184"/>
      <c r="R31" s="183" t="s">
        <v>79</v>
      </c>
      <c r="S31" s="183"/>
      <c r="T31" s="183"/>
      <c r="U31" s="183"/>
      <c r="V31" s="321" t="s">
        <v>80</v>
      </c>
      <c r="W31" s="322"/>
      <c r="X31" s="323"/>
      <c r="Y31" s="182" t="s">
        <v>109</v>
      </c>
      <c r="Z31" s="184"/>
      <c r="AA31" s="321" t="s">
        <v>82</v>
      </c>
      <c r="AB31" s="322"/>
      <c r="AC31" s="322"/>
      <c r="AD31" s="322"/>
      <c r="AE31" s="323"/>
      <c r="AF31" s="243" t="s">
        <v>111</v>
      </c>
      <c r="AG31" s="191"/>
      <c r="AH31" s="191"/>
      <c r="AI31" s="192"/>
      <c r="AJ31" s="191" t="s">
        <v>112</v>
      </c>
      <c r="AK31" s="191"/>
      <c r="AL31" s="191"/>
      <c r="AM31" s="192"/>
      <c r="AN31" s="46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28"/>
      <c r="BY31" s="128"/>
      <c r="BZ31" s="128"/>
      <c r="CA31" s="128"/>
      <c r="CB31" s="128"/>
      <c r="CC31" s="128"/>
      <c r="CD31" s="128"/>
    </row>
    <row r="32" spans="3:82" s="130" customFormat="1" ht="17.100000000000001" customHeight="1" x14ac:dyDescent="0.2">
      <c r="C32" s="144"/>
      <c r="D32" s="241"/>
      <c r="E32" s="77"/>
      <c r="F32" s="319" t="s">
        <v>46</v>
      </c>
      <c r="G32" s="320"/>
      <c r="H32" s="265"/>
      <c r="I32" s="266"/>
      <c r="J32" s="266"/>
      <c r="K32" s="266"/>
      <c r="L32" s="267"/>
      <c r="M32" s="228"/>
      <c r="N32" s="229"/>
      <c r="O32" s="229"/>
      <c r="P32" s="229"/>
      <c r="Q32" s="229"/>
      <c r="R32" s="228"/>
      <c r="S32" s="229"/>
      <c r="T32" s="229"/>
      <c r="U32" s="230"/>
      <c r="V32" s="265"/>
      <c r="W32" s="266"/>
      <c r="X32" s="267"/>
      <c r="Y32" s="238"/>
      <c r="Z32" s="251"/>
      <c r="AA32" s="247"/>
      <c r="AB32" s="248"/>
      <c r="AC32" s="248"/>
      <c r="AD32" s="248"/>
      <c r="AE32" s="249"/>
      <c r="AF32" s="193"/>
      <c r="AG32" s="194"/>
      <c r="AH32" s="194"/>
      <c r="AI32" s="195"/>
      <c r="AJ32" s="193">
        <v>0</v>
      </c>
      <c r="AK32" s="194"/>
      <c r="AL32" s="194"/>
      <c r="AM32" s="195"/>
      <c r="AN32" s="85"/>
      <c r="AO32" s="77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77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28"/>
      <c r="BY32" s="128"/>
      <c r="BZ32" s="128"/>
      <c r="CA32" s="128"/>
      <c r="CB32" s="128"/>
      <c r="CC32" s="128"/>
      <c r="CD32" s="128"/>
    </row>
    <row r="33" spans="3:57" s="123" customFormat="1" ht="3" customHeight="1" x14ac:dyDescent="0.2">
      <c r="C33" s="138"/>
      <c r="D33" s="218"/>
      <c r="E33" s="1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49"/>
      <c r="AO33" s="1"/>
      <c r="AP33" s="8"/>
      <c r="AQ33" s="1"/>
      <c r="AR33" s="1"/>
      <c r="AS33" s="1"/>
      <c r="AT33" s="1"/>
      <c r="AU33" s="8"/>
      <c r="AV33" s="7"/>
      <c r="AW33" s="4"/>
      <c r="AX33" s="4"/>
      <c r="AY33" s="4"/>
      <c r="AZ33" s="1"/>
      <c r="BA33" s="1"/>
      <c r="BB33" s="1"/>
      <c r="BC33" s="1"/>
      <c r="BD33" s="1"/>
      <c r="BE33" s="1"/>
    </row>
    <row r="34" spans="3:57" s="119" customFormat="1" ht="9.9499999999999993" customHeight="1" x14ac:dyDescent="0.2">
      <c r="C34" s="139"/>
      <c r="D34" s="218"/>
      <c r="E34" s="5"/>
      <c r="F34" s="173" t="s">
        <v>28</v>
      </c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4"/>
      <c r="AN34" s="46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3:57" s="129" customFormat="1" ht="17.100000000000001" customHeight="1" x14ac:dyDescent="0.2">
      <c r="C35" s="143"/>
      <c r="D35" s="218"/>
      <c r="E35" s="26"/>
      <c r="F35" s="244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6"/>
      <c r="AN35" s="47"/>
      <c r="AO35" s="26"/>
      <c r="AP35" s="26"/>
      <c r="AQ35" s="26"/>
      <c r="AR35" s="26"/>
      <c r="AS35" s="26"/>
      <c r="AT35" s="26"/>
      <c r="AU35" s="26"/>
      <c r="AV35" s="26"/>
      <c r="AW35" s="61"/>
      <c r="AX35" s="61"/>
      <c r="AY35" s="61"/>
      <c r="AZ35" s="26"/>
      <c r="BA35" s="26"/>
      <c r="BB35" s="26"/>
      <c r="BC35" s="26"/>
      <c r="BD35" s="26"/>
      <c r="BE35" s="26"/>
    </row>
    <row r="36" spans="3:57" s="131" customFormat="1" ht="3" customHeight="1" x14ac:dyDescent="0.2">
      <c r="C36" s="145"/>
      <c r="D36" s="218"/>
      <c r="E36" s="3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48"/>
      <c r="AO36" s="94"/>
      <c r="AP36" s="8"/>
      <c r="AQ36" s="9"/>
      <c r="AR36" s="8"/>
      <c r="AS36" s="8"/>
      <c r="AT36" s="10"/>
      <c r="AU36" s="8"/>
      <c r="AV36" s="7"/>
      <c r="AW36" s="10"/>
      <c r="AX36" s="10"/>
      <c r="AY36" s="10"/>
      <c r="AZ36" s="3"/>
      <c r="BA36" s="3"/>
      <c r="BB36" s="3"/>
      <c r="BC36" s="3"/>
      <c r="BD36" s="3"/>
      <c r="BE36" s="3"/>
    </row>
    <row r="37" spans="3:57" s="121" customFormat="1" ht="9.9499999999999993" customHeight="1" x14ac:dyDescent="0.2">
      <c r="C37" s="142"/>
      <c r="D37" s="218"/>
      <c r="E37" s="4"/>
      <c r="F37" s="185" t="s">
        <v>76</v>
      </c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240"/>
      <c r="Y37" s="243" t="s">
        <v>11</v>
      </c>
      <c r="Z37" s="191"/>
      <c r="AA37" s="192"/>
      <c r="AB37" s="172" t="s">
        <v>12</v>
      </c>
      <c r="AC37" s="172"/>
      <c r="AD37" s="172"/>
      <c r="AE37" s="172"/>
      <c r="AF37" s="173" t="s">
        <v>13</v>
      </c>
      <c r="AG37" s="172"/>
      <c r="AH37" s="172"/>
      <c r="AI37" s="172"/>
      <c r="AJ37" s="172"/>
      <c r="AK37" s="172"/>
      <c r="AL37" s="172"/>
      <c r="AM37" s="174"/>
      <c r="AN37" s="45"/>
      <c r="AO37" s="4"/>
      <c r="AP37" s="4"/>
      <c r="AQ37" s="4"/>
      <c r="AR37" s="4"/>
      <c r="AS37" s="4"/>
      <c r="AT37" s="5"/>
      <c r="AU37" s="8"/>
      <c r="AV37" s="7"/>
      <c r="AW37" s="5"/>
      <c r="AX37" s="5"/>
      <c r="AY37" s="4"/>
      <c r="AZ37" s="4"/>
      <c r="BA37" s="4"/>
      <c r="BB37" s="4"/>
      <c r="BC37" s="4"/>
      <c r="BD37" s="4"/>
      <c r="BE37" s="4"/>
    </row>
    <row r="38" spans="3:57" s="129" customFormat="1" ht="17.100000000000001" customHeight="1" x14ac:dyDescent="0.2">
      <c r="C38" s="143"/>
      <c r="D38" s="218"/>
      <c r="E38" s="26"/>
      <c r="F38" s="238" t="s">
        <v>265</v>
      </c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39"/>
      <c r="Y38" s="244"/>
      <c r="Z38" s="245"/>
      <c r="AA38" s="246"/>
      <c r="AB38" s="227"/>
      <c r="AC38" s="227"/>
      <c r="AD38" s="227"/>
      <c r="AE38" s="227"/>
      <c r="AF38" s="244"/>
      <c r="AG38" s="245"/>
      <c r="AH38" s="245"/>
      <c r="AI38" s="245"/>
      <c r="AJ38" s="245"/>
      <c r="AK38" s="245"/>
      <c r="AL38" s="245"/>
      <c r="AM38" s="246"/>
      <c r="AN38" s="86"/>
      <c r="AO38" s="26"/>
      <c r="AP38" s="26"/>
      <c r="AQ38" s="26"/>
      <c r="AR38" s="26"/>
      <c r="AS38" s="26"/>
      <c r="AT38" s="33"/>
      <c r="AU38" s="33"/>
      <c r="AV38" s="26"/>
      <c r="AW38" s="26"/>
      <c r="AX38" s="26"/>
      <c r="AY38" s="26"/>
      <c r="AZ38" s="26"/>
      <c r="BA38" s="26"/>
      <c r="BB38" s="26"/>
      <c r="BC38" s="26"/>
      <c r="BD38" s="26"/>
      <c r="BE38" s="26"/>
    </row>
    <row r="39" spans="3:57" s="123" customFormat="1" ht="3" customHeight="1" x14ac:dyDescent="0.2">
      <c r="C39" s="138"/>
      <c r="D39" s="218"/>
      <c r="E39" s="1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49"/>
      <c r="AO39" s="1"/>
      <c r="AP39" s="8"/>
      <c r="AQ39" s="9"/>
      <c r="AR39" s="7"/>
      <c r="AS39" s="169"/>
      <c r="AT39" s="169"/>
      <c r="AU39" s="169"/>
      <c r="AV39" s="7"/>
      <c r="AW39" s="4"/>
      <c r="AX39" s="4"/>
      <c r="AY39" s="4"/>
      <c r="AZ39" s="1"/>
      <c r="BA39" s="1"/>
      <c r="BB39" s="1"/>
      <c r="BC39" s="1"/>
      <c r="BD39" s="1"/>
      <c r="BE39" s="1"/>
    </row>
    <row r="40" spans="3:57" s="119" customFormat="1" ht="9.9499999999999993" customHeight="1" x14ac:dyDescent="0.2">
      <c r="C40" s="139"/>
      <c r="D40" s="218"/>
      <c r="E40" s="5"/>
      <c r="F40" s="185" t="s">
        <v>8</v>
      </c>
      <c r="G40" s="240"/>
      <c r="H40" s="173" t="s">
        <v>14</v>
      </c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4"/>
      <c r="X40" s="172" t="s">
        <v>15</v>
      </c>
      <c r="Y40" s="172"/>
      <c r="Z40" s="172"/>
      <c r="AA40" s="172"/>
      <c r="AB40" s="173" t="s">
        <v>75</v>
      </c>
      <c r="AC40" s="174"/>
      <c r="AD40" s="172" t="s">
        <v>132</v>
      </c>
      <c r="AE40" s="172"/>
      <c r="AF40" s="172"/>
      <c r="AG40" s="172"/>
      <c r="AH40" s="173" t="s">
        <v>75</v>
      </c>
      <c r="AI40" s="174"/>
      <c r="AJ40" s="173" t="s">
        <v>133</v>
      </c>
      <c r="AK40" s="172"/>
      <c r="AL40" s="172"/>
      <c r="AM40" s="174"/>
      <c r="AN40" s="46"/>
      <c r="AO40" s="4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3:57" s="129" customFormat="1" ht="17.100000000000001" customHeight="1" x14ac:dyDescent="0.2">
      <c r="C41" s="143"/>
      <c r="D41" s="219"/>
      <c r="E41" s="26"/>
      <c r="F41" s="238" t="s">
        <v>265</v>
      </c>
      <c r="G41" s="239"/>
      <c r="H41" s="170" t="s">
        <v>265</v>
      </c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171"/>
      <c r="X41" s="242">
        <v>36545655</v>
      </c>
      <c r="Y41" s="242"/>
      <c r="Z41" s="242"/>
      <c r="AA41" s="242"/>
      <c r="AB41" s="170"/>
      <c r="AC41" s="171"/>
      <c r="AD41" s="252"/>
      <c r="AE41" s="252"/>
      <c r="AF41" s="252"/>
      <c r="AG41" s="252"/>
      <c r="AH41" s="170"/>
      <c r="AI41" s="171"/>
      <c r="AJ41" s="253"/>
      <c r="AK41" s="252"/>
      <c r="AL41" s="252"/>
      <c r="AM41" s="254"/>
      <c r="AN41" s="47"/>
      <c r="AO41" s="95"/>
      <c r="AP41" s="26"/>
      <c r="AQ41" s="26"/>
      <c r="AR41" s="26"/>
      <c r="AS41" s="26"/>
      <c r="AT41" s="26"/>
      <c r="AU41" s="26"/>
      <c r="AV41" s="26"/>
      <c r="AW41" s="26"/>
      <c r="AX41" s="26"/>
      <c r="AY41" s="61"/>
      <c r="AZ41" s="26"/>
      <c r="BA41" s="26"/>
      <c r="BB41" s="26"/>
      <c r="BC41" s="26"/>
      <c r="BD41" s="26"/>
      <c r="BE41" s="26"/>
    </row>
    <row r="42" spans="3:57" s="123" customFormat="1" ht="3" customHeight="1" x14ac:dyDescent="0.2">
      <c r="C42" s="138"/>
      <c r="D42" s="141"/>
      <c r="E42" s="1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49"/>
      <c r="AO42" s="1"/>
      <c r="AP42" s="8"/>
      <c r="AQ42" s="9"/>
      <c r="AR42" s="7"/>
      <c r="AS42" s="8"/>
      <c r="AT42" s="4"/>
      <c r="AU42" s="8"/>
      <c r="AV42" s="7"/>
      <c r="AW42" s="4"/>
      <c r="AX42" s="4"/>
      <c r="AY42" s="4"/>
      <c r="AZ42" s="1"/>
      <c r="BA42" s="1"/>
      <c r="BB42" s="1"/>
      <c r="BC42" s="1"/>
      <c r="BD42" s="1"/>
      <c r="BE42" s="1"/>
    </row>
    <row r="43" spans="3:57" s="121" customFormat="1" ht="9.9499999999999993" customHeight="1" x14ac:dyDescent="0.2">
      <c r="C43" s="142"/>
      <c r="D43" s="217" t="s">
        <v>84</v>
      </c>
      <c r="E43" s="4"/>
      <c r="F43" s="196" t="s">
        <v>119</v>
      </c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 t="s">
        <v>33</v>
      </c>
      <c r="R43" s="197"/>
      <c r="S43" s="197"/>
      <c r="T43" s="114" t="s">
        <v>32</v>
      </c>
      <c r="U43" s="115" t="s">
        <v>31</v>
      </c>
      <c r="V43" s="116" t="s">
        <v>83</v>
      </c>
      <c r="W43" s="196" t="s">
        <v>34</v>
      </c>
      <c r="X43" s="197"/>
      <c r="Y43" s="197"/>
      <c r="Z43" s="197"/>
      <c r="AA43" s="197"/>
      <c r="AB43" s="197"/>
      <c r="AC43" s="197"/>
      <c r="AD43" s="198" t="s">
        <v>118</v>
      </c>
      <c r="AE43" s="199"/>
      <c r="AF43" s="199"/>
      <c r="AG43" s="199"/>
      <c r="AH43" s="199"/>
      <c r="AI43" s="197" t="s">
        <v>120</v>
      </c>
      <c r="AJ43" s="197"/>
      <c r="AK43" s="197"/>
      <c r="AL43" s="197"/>
      <c r="AM43" s="231"/>
      <c r="AN43" s="45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3:57" s="132" customFormat="1" ht="20.100000000000001" customHeight="1" x14ac:dyDescent="0.2">
      <c r="C44" s="146"/>
      <c r="D44" s="218"/>
      <c r="E44" s="38"/>
      <c r="F44" s="164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2"/>
      <c r="R44" s="162"/>
      <c r="S44" s="162"/>
      <c r="T44" s="102"/>
      <c r="U44" s="103"/>
      <c r="V44" s="104"/>
      <c r="W44" s="161"/>
      <c r="X44" s="162"/>
      <c r="Y44" s="162"/>
      <c r="Z44" s="162"/>
      <c r="AA44" s="162"/>
      <c r="AB44" s="162"/>
      <c r="AC44" s="162"/>
      <c r="AD44" s="163"/>
      <c r="AE44" s="163"/>
      <c r="AF44" s="163"/>
      <c r="AG44" s="163"/>
      <c r="AH44" s="163"/>
      <c r="AI44" s="159"/>
      <c r="AJ44" s="159"/>
      <c r="AK44" s="159"/>
      <c r="AL44" s="159"/>
      <c r="AM44" s="160"/>
      <c r="AN44" s="69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</row>
    <row r="45" spans="3:57" s="132" customFormat="1" ht="12" customHeight="1" x14ac:dyDescent="0.2">
      <c r="C45" s="146"/>
      <c r="D45" s="218"/>
      <c r="E45" s="38"/>
      <c r="F45" s="166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8"/>
      <c r="W45" s="166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8"/>
      <c r="AN45" s="69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</row>
    <row r="46" spans="3:57" s="132" customFormat="1" ht="3" customHeight="1" x14ac:dyDescent="0.2">
      <c r="C46" s="146"/>
      <c r="D46" s="218"/>
      <c r="E46" s="38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69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</row>
    <row r="47" spans="3:57" s="132" customFormat="1" ht="9.9499999999999993" customHeight="1" x14ac:dyDescent="0.2">
      <c r="C47" s="146"/>
      <c r="D47" s="218"/>
      <c r="E47" s="38"/>
      <c r="F47" s="196" t="s">
        <v>121</v>
      </c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 t="s">
        <v>33</v>
      </c>
      <c r="R47" s="197"/>
      <c r="S47" s="197"/>
      <c r="T47" s="114" t="s">
        <v>32</v>
      </c>
      <c r="U47" s="115" t="s">
        <v>31</v>
      </c>
      <c r="V47" s="116" t="s">
        <v>83</v>
      </c>
      <c r="W47" s="196" t="s">
        <v>34</v>
      </c>
      <c r="X47" s="197"/>
      <c r="Y47" s="197"/>
      <c r="Z47" s="197"/>
      <c r="AA47" s="197"/>
      <c r="AB47" s="197"/>
      <c r="AC47" s="197"/>
      <c r="AD47" s="198" t="s">
        <v>118</v>
      </c>
      <c r="AE47" s="199"/>
      <c r="AF47" s="199"/>
      <c r="AG47" s="199"/>
      <c r="AH47" s="199"/>
      <c r="AI47" s="197" t="s">
        <v>122</v>
      </c>
      <c r="AJ47" s="197"/>
      <c r="AK47" s="197"/>
      <c r="AL47" s="197"/>
      <c r="AM47" s="231"/>
      <c r="AN47" s="69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</row>
    <row r="48" spans="3:57" s="132" customFormat="1" ht="20.100000000000001" customHeight="1" x14ac:dyDescent="0.2">
      <c r="C48" s="146"/>
      <c r="D48" s="218"/>
      <c r="E48" s="38"/>
      <c r="F48" s="164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2"/>
      <c r="R48" s="162"/>
      <c r="S48" s="162"/>
      <c r="T48" s="102"/>
      <c r="U48" s="103"/>
      <c r="V48" s="104"/>
      <c r="W48" s="161"/>
      <c r="X48" s="162"/>
      <c r="Y48" s="162"/>
      <c r="Z48" s="162"/>
      <c r="AA48" s="162"/>
      <c r="AB48" s="162"/>
      <c r="AC48" s="162"/>
      <c r="AD48" s="163"/>
      <c r="AE48" s="163"/>
      <c r="AF48" s="163"/>
      <c r="AG48" s="163"/>
      <c r="AH48" s="163"/>
      <c r="AI48" s="159"/>
      <c r="AJ48" s="159"/>
      <c r="AK48" s="159"/>
      <c r="AL48" s="159"/>
      <c r="AM48" s="160"/>
      <c r="AN48" s="69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</row>
    <row r="49" spans="3:57" s="132" customFormat="1" ht="12" customHeight="1" x14ac:dyDescent="0.2">
      <c r="C49" s="146"/>
      <c r="D49" s="218"/>
      <c r="E49" s="38"/>
      <c r="F49" s="166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8"/>
      <c r="W49" s="166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8"/>
      <c r="AN49" s="69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</row>
    <row r="50" spans="3:57" s="132" customFormat="1" ht="20.100000000000001" customHeight="1" x14ac:dyDescent="0.2">
      <c r="C50" s="146"/>
      <c r="D50" s="218"/>
      <c r="E50" s="38"/>
      <c r="F50" s="164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2"/>
      <c r="R50" s="162"/>
      <c r="S50" s="162"/>
      <c r="T50" s="102"/>
      <c r="U50" s="103"/>
      <c r="V50" s="104"/>
      <c r="W50" s="161"/>
      <c r="X50" s="162"/>
      <c r="Y50" s="162"/>
      <c r="Z50" s="162"/>
      <c r="AA50" s="162"/>
      <c r="AB50" s="162"/>
      <c r="AC50" s="162"/>
      <c r="AD50" s="163"/>
      <c r="AE50" s="163"/>
      <c r="AF50" s="163"/>
      <c r="AG50" s="163"/>
      <c r="AH50" s="163"/>
      <c r="AI50" s="159"/>
      <c r="AJ50" s="159"/>
      <c r="AK50" s="159"/>
      <c r="AL50" s="159"/>
      <c r="AM50" s="160"/>
      <c r="AN50" s="69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</row>
    <row r="51" spans="3:57" s="132" customFormat="1" ht="12" customHeight="1" x14ac:dyDescent="0.2">
      <c r="C51" s="146"/>
      <c r="D51" s="218"/>
      <c r="E51" s="38"/>
      <c r="F51" s="166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8"/>
      <c r="W51" s="166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8"/>
      <c r="AN51" s="69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</row>
    <row r="52" spans="3:57" s="132" customFormat="1" ht="20.100000000000001" customHeight="1" x14ac:dyDescent="0.2">
      <c r="C52" s="146"/>
      <c r="D52" s="218"/>
      <c r="E52" s="38"/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2"/>
      <c r="R52" s="162"/>
      <c r="S52" s="162"/>
      <c r="T52" s="102"/>
      <c r="U52" s="103"/>
      <c r="V52" s="104"/>
      <c r="W52" s="161"/>
      <c r="X52" s="162"/>
      <c r="Y52" s="162"/>
      <c r="Z52" s="162"/>
      <c r="AA52" s="162"/>
      <c r="AB52" s="162"/>
      <c r="AC52" s="162"/>
      <c r="AD52" s="163"/>
      <c r="AE52" s="163"/>
      <c r="AF52" s="163"/>
      <c r="AG52" s="163"/>
      <c r="AH52" s="163"/>
      <c r="AI52" s="159"/>
      <c r="AJ52" s="159"/>
      <c r="AK52" s="159"/>
      <c r="AL52" s="159"/>
      <c r="AM52" s="160"/>
      <c r="AN52" s="69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</row>
    <row r="53" spans="3:57" s="132" customFormat="1" ht="12" customHeight="1" x14ac:dyDescent="0.2">
      <c r="C53" s="146"/>
      <c r="D53" s="218"/>
      <c r="E53" s="38"/>
      <c r="F53" s="166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8"/>
      <c r="W53" s="166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8"/>
      <c r="AN53" s="69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</row>
    <row r="54" spans="3:57" s="132" customFormat="1" ht="20.100000000000001" customHeight="1" x14ac:dyDescent="0.2">
      <c r="C54" s="146"/>
      <c r="D54" s="218"/>
      <c r="E54" s="38"/>
      <c r="F54" s="164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2"/>
      <c r="R54" s="162"/>
      <c r="S54" s="162"/>
      <c r="T54" s="102"/>
      <c r="U54" s="103"/>
      <c r="V54" s="104"/>
      <c r="W54" s="161"/>
      <c r="X54" s="162"/>
      <c r="Y54" s="162"/>
      <c r="Z54" s="162"/>
      <c r="AA54" s="162"/>
      <c r="AB54" s="162"/>
      <c r="AC54" s="162"/>
      <c r="AD54" s="163"/>
      <c r="AE54" s="163"/>
      <c r="AF54" s="163"/>
      <c r="AG54" s="163"/>
      <c r="AH54" s="163"/>
      <c r="AI54" s="159"/>
      <c r="AJ54" s="159"/>
      <c r="AK54" s="159"/>
      <c r="AL54" s="159"/>
      <c r="AM54" s="160"/>
      <c r="AN54" s="69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</row>
    <row r="55" spans="3:57" s="132" customFormat="1" ht="12" customHeight="1" x14ac:dyDescent="0.2">
      <c r="C55" s="146"/>
      <c r="D55" s="218"/>
      <c r="E55" s="38"/>
      <c r="F55" s="166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8"/>
      <c r="W55" s="166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8"/>
      <c r="AN55" s="69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</row>
    <row r="56" spans="3:57" s="132" customFormat="1" ht="20.100000000000001" customHeight="1" x14ac:dyDescent="0.2">
      <c r="C56" s="146"/>
      <c r="D56" s="218"/>
      <c r="E56" s="38"/>
      <c r="F56" s="164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2"/>
      <c r="R56" s="162"/>
      <c r="S56" s="162"/>
      <c r="T56" s="102"/>
      <c r="U56" s="103"/>
      <c r="V56" s="104"/>
      <c r="W56" s="161"/>
      <c r="X56" s="162"/>
      <c r="Y56" s="162"/>
      <c r="Z56" s="162"/>
      <c r="AA56" s="162"/>
      <c r="AB56" s="162"/>
      <c r="AC56" s="162"/>
      <c r="AD56" s="163"/>
      <c r="AE56" s="163"/>
      <c r="AF56" s="163"/>
      <c r="AG56" s="163"/>
      <c r="AH56" s="163"/>
      <c r="AI56" s="159"/>
      <c r="AJ56" s="159"/>
      <c r="AK56" s="159"/>
      <c r="AL56" s="159"/>
      <c r="AM56" s="160"/>
      <c r="AN56" s="69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</row>
    <row r="57" spans="3:57" s="132" customFormat="1" ht="12" customHeight="1" x14ac:dyDescent="0.2">
      <c r="C57" s="146"/>
      <c r="D57" s="219"/>
      <c r="E57" s="38"/>
      <c r="F57" s="166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8"/>
      <c r="W57" s="166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8"/>
      <c r="AN57" s="69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</row>
    <row r="58" spans="3:57" s="123" customFormat="1" ht="5.0999999999999996" customHeight="1" x14ac:dyDescent="0.2">
      <c r="C58" s="138"/>
      <c r="D58" s="147"/>
      <c r="E58" s="1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49"/>
      <c r="AO58" s="1"/>
      <c r="AP58" s="8"/>
      <c r="AQ58" s="9"/>
      <c r="AR58" s="7"/>
      <c r="AS58" s="8"/>
      <c r="AT58" s="4"/>
      <c r="AU58" s="8"/>
      <c r="AV58" s="7"/>
      <c r="AW58" s="4"/>
      <c r="AX58" s="4"/>
      <c r="AY58" s="4"/>
      <c r="AZ58" s="1"/>
      <c r="BA58" s="1"/>
      <c r="BB58" s="1"/>
      <c r="BC58" s="1"/>
      <c r="BD58" s="1"/>
      <c r="BE58" s="1"/>
    </row>
    <row r="59" spans="3:57" s="119" customFormat="1" ht="9.9499999999999993" customHeight="1" x14ac:dyDescent="0.2">
      <c r="C59" s="139"/>
      <c r="D59" s="217" t="s">
        <v>88</v>
      </c>
      <c r="E59" s="5"/>
      <c r="F59" s="200" t="s">
        <v>135</v>
      </c>
      <c r="G59" s="201"/>
      <c r="H59" s="201"/>
      <c r="I59" s="202"/>
      <c r="J59" s="173" t="s">
        <v>94</v>
      </c>
      <c r="K59" s="172"/>
      <c r="L59" s="174"/>
      <c r="M59" s="173" t="s">
        <v>35</v>
      </c>
      <c r="N59" s="172"/>
      <c r="O59" s="172"/>
      <c r="P59" s="172"/>
      <c r="Q59" s="172"/>
      <c r="R59" s="172"/>
      <c r="S59" s="172"/>
      <c r="T59" s="172"/>
      <c r="U59" s="174"/>
      <c r="V59" s="173" t="s">
        <v>95</v>
      </c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4"/>
      <c r="AN59" s="45"/>
      <c r="AO59" s="4"/>
      <c r="AP59" s="8"/>
      <c r="AQ59" s="9"/>
      <c r="AR59" s="11"/>
      <c r="AS59" s="8"/>
      <c r="AT59" s="5"/>
      <c r="AU59" s="8"/>
      <c r="AV59" s="7"/>
      <c r="AW59" s="5"/>
      <c r="AX59" s="5"/>
      <c r="AY59" s="5"/>
      <c r="AZ59" s="5"/>
      <c r="BA59" s="5"/>
      <c r="BB59" s="5"/>
      <c r="BC59" s="5"/>
      <c r="BD59" s="5"/>
      <c r="BE59" s="5"/>
    </row>
    <row r="60" spans="3:57" s="129" customFormat="1" ht="18" customHeight="1" x14ac:dyDescent="0.2">
      <c r="C60" s="143"/>
      <c r="D60" s="218"/>
      <c r="E60" s="26"/>
      <c r="F60" s="262"/>
      <c r="G60" s="263"/>
      <c r="H60" s="263"/>
      <c r="I60" s="264"/>
      <c r="J60" s="265"/>
      <c r="K60" s="266"/>
      <c r="L60" s="267"/>
      <c r="M60" s="170"/>
      <c r="N60" s="227"/>
      <c r="O60" s="227"/>
      <c r="P60" s="227"/>
      <c r="Q60" s="227"/>
      <c r="R60" s="227"/>
      <c r="S60" s="227"/>
      <c r="T60" s="227"/>
      <c r="U60" s="171"/>
      <c r="V60" s="265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7"/>
      <c r="AN60" s="71"/>
      <c r="AO60" s="96"/>
      <c r="AP60" s="61"/>
      <c r="AQ60" s="62"/>
      <c r="AR60" s="61"/>
      <c r="AS60" s="61"/>
      <c r="AT60" s="61"/>
      <c r="AU60" s="61"/>
      <c r="AV60" s="33"/>
      <c r="AW60" s="61"/>
      <c r="AX60" s="61"/>
      <c r="AY60" s="61"/>
      <c r="AZ60" s="26"/>
      <c r="BA60" s="26"/>
      <c r="BB60" s="26"/>
      <c r="BC60" s="26"/>
      <c r="BD60" s="26"/>
      <c r="BE60" s="26"/>
    </row>
    <row r="61" spans="3:57" s="123" customFormat="1" ht="4.5" customHeight="1" x14ac:dyDescent="0.2">
      <c r="C61" s="138"/>
      <c r="D61" s="218"/>
      <c r="E61" s="1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49"/>
      <c r="AO61" s="1"/>
      <c r="AP61" s="8"/>
      <c r="AQ61" s="9"/>
      <c r="AR61" s="7"/>
      <c r="AS61" s="8"/>
      <c r="AT61" s="4"/>
      <c r="AU61" s="8"/>
      <c r="AV61" s="7"/>
      <c r="AW61" s="4"/>
      <c r="AX61" s="4"/>
      <c r="AY61" s="4"/>
      <c r="AZ61" s="1"/>
      <c r="BA61" s="1"/>
      <c r="BB61" s="1"/>
      <c r="BC61" s="1"/>
      <c r="BD61" s="1"/>
      <c r="BE61" s="1"/>
    </row>
    <row r="62" spans="3:57" s="133" customFormat="1" ht="9.9499999999999993" customHeight="1" x14ac:dyDescent="0.2">
      <c r="C62" s="148"/>
      <c r="D62" s="218"/>
      <c r="E62" s="105"/>
      <c r="F62" s="205" t="s">
        <v>130</v>
      </c>
      <c r="G62" s="206"/>
      <c r="H62" s="206"/>
      <c r="I62" s="206"/>
      <c r="J62" s="206"/>
      <c r="K62" s="206"/>
      <c r="L62" s="206"/>
      <c r="M62" s="206"/>
      <c r="N62" s="207"/>
      <c r="O62" s="205" t="s">
        <v>131</v>
      </c>
      <c r="P62" s="206"/>
      <c r="Q62" s="206"/>
      <c r="R62" s="206"/>
      <c r="S62" s="206"/>
      <c r="T62" s="206"/>
      <c r="U62" s="207"/>
      <c r="V62" s="205" t="s">
        <v>124</v>
      </c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7"/>
      <c r="AN62" s="106"/>
      <c r="AO62" s="105"/>
      <c r="AP62" s="8"/>
      <c r="AQ62" s="9"/>
      <c r="AR62" s="11"/>
      <c r="AS62" s="8"/>
      <c r="AT62" s="5"/>
      <c r="AU62" s="8"/>
      <c r="AV62" s="7"/>
      <c r="AW62" s="5"/>
      <c r="AX62" s="5"/>
      <c r="AY62" s="5"/>
      <c r="AZ62" s="5"/>
      <c r="BA62" s="5"/>
      <c r="BB62" s="5"/>
      <c r="BC62" s="5"/>
      <c r="BD62" s="5"/>
      <c r="BE62" s="105"/>
    </row>
    <row r="63" spans="3:57" s="119" customFormat="1" ht="3" customHeight="1" x14ac:dyDescent="0.2">
      <c r="C63" s="139"/>
      <c r="D63" s="218"/>
      <c r="E63" s="5"/>
      <c r="F63" s="256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257"/>
      <c r="AG63" s="257"/>
      <c r="AH63" s="257"/>
      <c r="AI63" s="257"/>
      <c r="AJ63" s="257"/>
      <c r="AK63" s="257"/>
      <c r="AL63" s="257"/>
      <c r="AM63" s="258"/>
      <c r="AN63" s="46"/>
      <c r="AO63" s="5"/>
      <c r="AP63" s="8"/>
      <c r="AQ63" s="9"/>
      <c r="AR63" s="11"/>
      <c r="AS63" s="8"/>
      <c r="AT63" s="5"/>
      <c r="AU63" s="8"/>
      <c r="AV63" s="7"/>
      <c r="AW63" s="5"/>
      <c r="AX63" s="5"/>
      <c r="AY63" s="5"/>
      <c r="AZ63" s="5"/>
      <c r="BA63" s="5"/>
      <c r="BB63" s="5"/>
      <c r="BC63" s="5"/>
      <c r="BD63" s="5"/>
      <c r="BE63" s="5"/>
    </row>
    <row r="64" spans="3:57" s="119" customFormat="1" ht="9.9499999999999993" customHeight="1" x14ac:dyDescent="0.2">
      <c r="C64" s="139"/>
      <c r="D64" s="218"/>
      <c r="E64" s="5"/>
      <c r="F64" s="117"/>
      <c r="G64" s="118"/>
      <c r="H64" s="220" t="s">
        <v>123</v>
      </c>
      <c r="I64" s="221"/>
      <c r="J64" s="151"/>
      <c r="K64" s="220" t="s">
        <v>84</v>
      </c>
      <c r="L64" s="255"/>
      <c r="M64" s="255"/>
      <c r="N64" s="221"/>
      <c r="O64" s="118"/>
      <c r="P64" s="220" t="s">
        <v>123</v>
      </c>
      <c r="Q64" s="221"/>
      <c r="R64" s="114"/>
      <c r="S64" s="220" t="s">
        <v>84</v>
      </c>
      <c r="T64" s="255"/>
      <c r="U64" s="221"/>
      <c r="V64" s="114"/>
      <c r="W64" s="120" t="s">
        <v>127</v>
      </c>
      <c r="X64" s="121"/>
      <c r="Y64" s="121"/>
      <c r="Z64" s="114"/>
      <c r="AA64" s="120" t="s">
        <v>128</v>
      </c>
      <c r="AB64" s="121"/>
      <c r="AC64" s="114"/>
      <c r="AD64" s="120" t="s">
        <v>126</v>
      </c>
      <c r="AG64" s="114"/>
      <c r="AH64" s="120" t="s">
        <v>125</v>
      </c>
      <c r="AJ64" s="118"/>
      <c r="AK64" s="119" t="s">
        <v>129</v>
      </c>
      <c r="AM64" s="122"/>
      <c r="AN64" s="46"/>
      <c r="AO64" s="5"/>
      <c r="AP64" s="8"/>
      <c r="AQ64" s="9"/>
      <c r="AR64" s="11"/>
      <c r="AS64" s="8"/>
      <c r="AT64" s="5"/>
      <c r="AU64" s="8"/>
      <c r="AV64" s="7"/>
      <c r="AW64" s="5"/>
      <c r="AX64" s="5"/>
      <c r="AY64" s="5"/>
      <c r="AZ64" s="5"/>
      <c r="BA64" s="5"/>
      <c r="BB64" s="5"/>
      <c r="BC64" s="5"/>
      <c r="BD64" s="5"/>
      <c r="BE64" s="5"/>
    </row>
    <row r="65" spans="1:60" s="129" customFormat="1" ht="3" customHeight="1" x14ac:dyDescent="0.2">
      <c r="C65" s="143"/>
      <c r="D65" s="218"/>
      <c r="E65" s="26"/>
      <c r="F65" s="259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0"/>
      <c r="AJ65" s="260"/>
      <c r="AK65" s="260"/>
      <c r="AL65" s="260"/>
      <c r="AM65" s="261"/>
      <c r="AN65" s="72"/>
      <c r="AO65" s="97"/>
      <c r="AP65" s="61"/>
      <c r="AQ65" s="62"/>
      <c r="AR65" s="61"/>
      <c r="AS65" s="61"/>
      <c r="AT65" s="61"/>
      <c r="AU65" s="61"/>
      <c r="AV65" s="33"/>
      <c r="AW65" s="61"/>
      <c r="AX65" s="61"/>
      <c r="AY65" s="61"/>
      <c r="AZ65" s="26"/>
      <c r="BA65" s="26"/>
      <c r="BB65" s="26"/>
      <c r="BC65" s="26"/>
      <c r="BD65" s="26"/>
      <c r="BE65" s="26"/>
    </row>
    <row r="66" spans="1:60" s="123" customFormat="1" ht="5.0999999999999996" customHeight="1" x14ac:dyDescent="0.2">
      <c r="C66" s="138"/>
      <c r="D66" s="218"/>
      <c r="E66" s="1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49"/>
      <c r="AO66" s="1"/>
      <c r="AP66" s="8"/>
      <c r="AQ66" s="9"/>
      <c r="AR66" s="7"/>
      <c r="AS66" s="8"/>
      <c r="AT66" s="4"/>
      <c r="AU66" s="8"/>
      <c r="AV66" s="7"/>
      <c r="AW66" s="4"/>
      <c r="AX66" s="4"/>
      <c r="AY66" s="4"/>
      <c r="AZ66" s="1"/>
      <c r="BA66" s="1"/>
      <c r="BB66" s="1"/>
      <c r="BC66" s="1"/>
      <c r="BD66" s="1"/>
      <c r="BE66" s="1"/>
    </row>
    <row r="67" spans="1:60" s="121" customFormat="1" ht="14.1" customHeight="1" x14ac:dyDescent="0.2">
      <c r="C67" s="142"/>
      <c r="D67" s="218"/>
      <c r="E67" s="4"/>
      <c r="F67" s="205" t="s">
        <v>96</v>
      </c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  <c r="AE67" s="206"/>
      <c r="AF67" s="206"/>
      <c r="AG67" s="206"/>
      <c r="AH67" s="206"/>
      <c r="AI67" s="206"/>
      <c r="AJ67" s="206"/>
      <c r="AK67" s="206"/>
      <c r="AL67" s="206"/>
      <c r="AM67" s="207"/>
      <c r="AN67" s="45"/>
      <c r="AO67" s="4"/>
      <c r="AP67" s="8"/>
      <c r="AQ67" s="63"/>
      <c r="AR67" s="7"/>
      <c r="AS67" s="8"/>
      <c r="AT67" s="4"/>
      <c r="AU67" s="7"/>
      <c r="AV67" s="7"/>
      <c r="AW67" s="4"/>
      <c r="AX67" s="4"/>
      <c r="AY67" s="4"/>
      <c r="AZ67" s="4"/>
      <c r="BA67" s="4"/>
      <c r="BB67" s="4"/>
      <c r="BC67" s="4"/>
      <c r="BD67" s="4"/>
      <c r="BE67" s="4"/>
    </row>
    <row r="68" spans="1:60" s="134" customFormat="1" ht="14.1" customHeight="1" x14ac:dyDescent="0.2">
      <c r="C68" s="149"/>
      <c r="D68" s="218"/>
      <c r="E68" s="27"/>
      <c r="F68" s="208" t="s">
        <v>97</v>
      </c>
      <c r="G68" s="209" t="s">
        <v>92</v>
      </c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10"/>
      <c r="AN68" s="87"/>
      <c r="AO68" s="98"/>
      <c r="AP68" s="64"/>
      <c r="AQ68" s="65"/>
      <c r="AR68" s="64"/>
      <c r="AS68" s="64"/>
      <c r="AT68" s="64"/>
      <c r="AU68" s="64"/>
      <c r="AV68" s="34"/>
      <c r="AW68" s="64"/>
      <c r="AX68" s="64"/>
      <c r="AY68" s="64"/>
      <c r="AZ68" s="27"/>
      <c r="BA68" s="27"/>
      <c r="BB68" s="27"/>
      <c r="BC68" s="27"/>
      <c r="BD68" s="27"/>
      <c r="BE68" s="27"/>
    </row>
    <row r="69" spans="1:60" s="135" customFormat="1" ht="14.1" customHeight="1" x14ac:dyDescent="0.2">
      <c r="C69" s="150"/>
      <c r="D69" s="218"/>
      <c r="E69" s="6"/>
      <c r="F69" s="208" t="s">
        <v>98</v>
      </c>
      <c r="G69" s="209" t="s">
        <v>92</v>
      </c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10"/>
      <c r="AN69" s="50"/>
      <c r="AO69" s="99"/>
      <c r="AP69" s="67"/>
      <c r="AQ69" s="68"/>
      <c r="AR69" s="66"/>
      <c r="AS69" s="67"/>
      <c r="AT69" s="6"/>
      <c r="AU69" s="67"/>
      <c r="AV69" s="66"/>
      <c r="AW69" s="6"/>
      <c r="AX69" s="6"/>
      <c r="AY69" s="6"/>
      <c r="AZ69" s="6"/>
      <c r="BA69" s="6"/>
      <c r="BB69" s="6"/>
      <c r="BC69" s="6"/>
      <c r="BD69" s="6"/>
      <c r="BE69" s="6"/>
    </row>
    <row r="70" spans="1:60" s="135" customFormat="1" ht="14.1" customHeight="1" x14ac:dyDescent="0.2">
      <c r="C70" s="150"/>
      <c r="D70" s="218"/>
      <c r="E70" s="6"/>
      <c r="F70" s="222" t="s">
        <v>113</v>
      </c>
      <c r="G70" s="223" t="s">
        <v>92</v>
      </c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4"/>
      <c r="AN70" s="51"/>
      <c r="AO70" s="100"/>
      <c r="AP70" s="67"/>
      <c r="AQ70" s="68"/>
      <c r="AR70" s="66"/>
      <c r="AS70" s="67"/>
      <c r="AT70" s="6"/>
      <c r="AU70" s="67"/>
      <c r="AV70" s="66"/>
      <c r="AW70" s="6"/>
      <c r="AX70" s="6"/>
      <c r="AY70" s="6"/>
      <c r="AZ70" s="6"/>
      <c r="BA70" s="6"/>
      <c r="BB70" s="6"/>
      <c r="BC70" s="6"/>
      <c r="BD70" s="6"/>
      <c r="BE70" s="6"/>
    </row>
    <row r="71" spans="1:60" s="123" customFormat="1" ht="5.0999999999999996" customHeight="1" x14ac:dyDescent="0.2">
      <c r="C71" s="138"/>
      <c r="D71" s="218"/>
      <c r="E71" s="1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49"/>
      <c r="AO71" s="1"/>
      <c r="AP71" s="8"/>
      <c r="AQ71" s="9"/>
      <c r="AR71" s="7"/>
      <c r="AS71" s="8"/>
      <c r="AT71" s="4"/>
      <c r="AU71" s="8"/>
      <c r="AV71" s="7"/>
      <c r="AW71" s="4"/>
      <c r="AX71" s="4"/>
      <c r="AY71" s="4"/>
      <c r="AZ71" s="1"/>
      <c r="BA71" s="1"/>
      <c r="BB71" s="1"/>
      <c r="BC71" s="1"/>
      <c r="BD71" s="1"/>
      <c r="BE71" s="1"/>
    </row>
    <row r="72" spans="1:60" s="123" customFormat="1" ht="9.9499999999999993" customHeight="1" x14ac:dyDescent="0.25">
      <c r="C72" s="138"/>
      <c r="D72" s="218"/>
      <c r="E72" s="1"/>
      <c r="F72" s="211" t="s">
        <v>37</v>
      </c>
      <c r="G72" s="212"/>
      <c r="H72" s="212"/>
      <c r="I72" s="212"/>
      <c r="J72" s="213"/>
      <c r="K72" s="173" t="s">
        <v>93</v>
      </c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4"/>
      <c r="AN72" s="49"/>
      <c r="AO72" s="1"/>
      <c r="AP72" s="8"/>
      <c r="AQ72" s="9"/>
      <c r="AR72" s="7"/>
      <c r="AS72" s="8"/>
      <c r="AT72" s="4"/>
      <c r="AU72" s="8"/>
      <c r="AV72" s="7"/>
      <c r="AW72" s="4"/>
      <c r="AX72" s="4"/>
      <c r="AY72" s="4"/>
      <c r="AZ72" s="1"/>
      <c r="BA72" s="1"/>
      <c r="BB72" s="1"/>
      <c r="BC72" s="1"/>
      <c r="BD72" s="1"/>
      <c r="BE72" s="1"/>
    </row>
    <row r="73" spans="1:60" s="123" customFormat="1" ht="20.100000000000001" customHeight="1" x14ac:dyDescent="0.2">
      <c r="C73" s="138"/>
      <c r="D73" s="219"/>
      <c r="E73" s="1"/>
      <c r="F73" s="214"/>
      <c r="G73" s="215"/>
      <c r="H73" s="215"/>
      <c r="I73" s="215"/>
      <c r="J73" s="216"/>
      <c r="K73" s="214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6"/>
      <c r="AN73" s="49"/>
      <c r="AO73" s="1"/>
      <c r="AP73" s="8"/>
      <c r="AQ73" s="9"/>
      <c r="AR73" s="7"/>
      <c r="AS73" s="8"/>
      <c r="AT73" s="4"/>
      <c r="AU73" s="8"/>
      <c r="AV73" s="7"/>
      <c r="AW73" s="4"/>
      <c r="AX73" s="4"/>
      <c r="AY73" s="4"/>
      <c r="AZ73" s="1"/>
      <c r="BA73" s="1"/>
      <c r="BB73" s="1"/>
      <c r="BC73" s="1"/>
      <c r="BD73" s="1"/>
      <c r="BE73" s="1"/>
    </row>
    <row r="74" spans="1:60" s="136" customFormat="1" ht="20.100000000000001" customHeight="1" thickBot="1" x14ac:dyDescent="0.25">
      <c r="A74" s="2"/>
      <c r="B74" s="2"/>
      <c r="C74" s="52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53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4"/>
      <c r="AZ74" s="1"/>
      <c r="BA74" s="1"/>
      <c r="BB74" s="1"/>
      <c r="BC74" s="1"/>
      <c r="BD74" s="1"/>
      <c r="BE74" s="1"/>
      <c r="BF74" s="123"/>
      <c r="BG74" s="123"/>
      <c r="BH74" s="123"/>
    </row>
    <row r="75" spans="1:60" s="136" customFormat="1" ht="5.0999999999999996" customHeight="1" x14ac:dyDescent="0.2">
      <c r="A75" s="2"/>
      <c r="B75" s="2"/>
      <c r="C75" s="2"/>
      <c r="D75" s="3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7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1"/>
      <c r="BF75" s="123"/>
      <c r="BG75" s="123"/>
      <c r="BH75" s="123"/>
    </row>
    <row r="76" spans="1:60" s="136" customFormat="1" ht="18" customHeight="1" x14ac:dyDescent="0.2">
      <c r="A76" s="2"/>
      <c r="B76" s="2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  <c r="AN76" s="1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1"/>
      <c r="BF76" s="123"/>
      <c r="BG76" s="123"/>
      <c r="BH76" s="123"/>
    </row>
    <row r="77" spans="1:60" s="136" customFormat="1" ht="18" x14ac:dyDescent="0.2">
      <c r="A77" s="2"/>
      <c r="B77" s="2"/>
      <c r="C77" s="2"/>
      <c r="D77" s="3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8"/>
      <c r="AC77" s="12"/>
      <c r="AD77" s="12"/>
      <c r="AE77" s="12"/>
      <c r="AF77" s="13"/>
      <c r="AG77" s="12"/>
      <c r="AH77" s="12"/>
      <c r="AI77" s="12"/>
      <c r="AJ77" s="12"/>
      <c r="AK77" s="14"/>
      <c r="AL77" s="12"/>
      <c r="AM77" s="12"/>
      <c r="AN77" s="12"/>
      <c r="AO77" s="2"/>
      <c r="AP77" s="17" t="s">
        <v>38</v>
      </c>
      <c r="AQ77" s="17" t="s">
        <v>17</v>
      </c>
      <c r="AR77" s="17" t="s">
        <v>41</v>
      </c>
      <c r="AS77" s="17" t="s">
        <v>56</v>
      </c>
      <c r="AT77" s="18" t="s">
        <v>45</v>
      </c>
      <c r="AU77" s="17">
        <v>0</v>
      </c>
      <c r="AV77" s="17">
        <v>0</v>
      </c>
      <c r="AW77" s="17">
        <v>1</v>
      </c>
      <c r="AX77" s="17">
        <v>1</v>
      </c>
      <c r="AY77" s="19">
        <v>1</v>
      </c>
      <c r="AZ77" s="17">
        <v>0</v>
      </c>
      <c r="BA77" s="18" t="s">
        <v>43</v>
      </c>
      <c r="BB77" s="18">
        <v>1</v>
      </c>
      <c r="BC77" s="18" t="s">
        <v>90</v>
      </c>
      <c r="BD77" s="20" t="s">
        <v>59</v>
      </c>
      <c r="BE77" s="1"/>
      <c r="BF77" s="123"/>
      <c r="BG77" s="123"/>
      <c r="BH77" s="123"/>
    </row>
    <row r="78" spans="1:60" s="136" customFormat="1" ht="18" x14ac:dyDescent="0.2">
      <c r="A78" s="2"/>
      <c r="B78" s="2"/>
      <c r="C78" s="2"/>
      <c r="D78" s="3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7"/>
      <c r="AC78" s="15"/>
      <c r="AD78" s="15"/>
      <c r="AE78" s="12"/>
      <c r="AF78" s="13"/>
      <c r="AG78" s="15"/>
      <c r="AH78" s="15"/>
      <c r="AI78" s="15"/>
      <c r="AJ78" s="12"/>
      <c r="AK78" s="14"/>
      <c r="AL78" s="15"/>
      <c r="AM78" s="12"/>
      <c r="AN78" s="12"/>
      <c r="AO78" s="2"/>
      <c r="AP78" s="17" t="s">
        <v>2</v>
      </c>
      <c r="AQ78" s="17" t="s">
        <v>39</v>
      </c>
      <c r="AR78" s="17" t="s">
        <v>42</v>
      </c>
      <c r="AS78" s="17" t="s">
        <v>57</v>
      </c>
      <c r="AT78" s="18" t="s">
        <v>46</v>
      </c>
      <c r="AU78" s="17">
        <v>30</v>
      </c>
      <c r="AV78" s="17">
        <v>30</v>
      </c>
      <c r="AW78" s="17">
        <v>2</v>
      </c>
      <c r="AX78" s="17">
        <v>2</v>
      </c>
      <c r="AY78" s="19">
        <v>33</v>
      </c>
      <c r="AZ78" s="17">
        <v>1</v>
      </c>
      <c r="BA78" s="18" t="s">
        <v>44</v>
      </c>
      <c r="BB78" s="18">
        <v>2</v>
      </c>
      <c r="BC78" s="18" t="s">
        <v>91</v>
      </c>
      <c r="BD78" s="20" t="s">
        <v>60</v>
      </c>
      <c r="BE78" s="1"/>
      <c r="BF78" s="123"/>
      <c r="BG78" s="123"/>
      <c r="BH78" s="123"/>
    </row>
    <row r="79" spans="1:60" s="123" customFormat="1" ht="15" customHeight="1" x14ac:dyDescent="0.2">
      <c r="A79" s="1"/>
      <c r="B79" s="1"/>
      <c r="C79" s="1"/>
      <c r="D79" s="3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7"/>
      <c r="AQ79" s="17" t="s">
        <v>53</v>
      </c>
      <c r="AR79" s="17" t="s">
        <v>36</v>
      </c>
      <c r="AS79" s="17" t="s">
        <v>58</v>
      </c>
      <c r="AT79" s="21"/>
      <c r="AU79" s="17">
        <v>45</v>
      </c>
      <c r="AV79" s="17">
        <v>45</v>
      </c>
      <c r="AW79" s="17">
        <v>4</v>
      </c>
      <c r="AX79" s="17">
        <v>3</v>
      </c>
      <c r="AY79" s="19">
        <v>237</v>
      </c>
      <c r="AZ79" s="17">
        <v>2</v>
      </c>
      <c r="BA79" s="14"/>
      <c r="BB79" s="18">
        <v>3</v>
      </c>
      <c r="BC79" s="7"/>
      <c r="BD79" s="20" t="s">
        <v>61</v>
      </c>
      <c r="BE79" s="1"/>
    </row>
    <row r="80" spans="1:60" s="123" customFormat="1" ht="15" customHeight="1" x14ac:dyDescent="0.2">
      <c r="A80" s="1"/>
      <c r="B80" s="1"/>
      <c r="C80" s="1"/>
      <c r="D80" s="3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24"/>
      <c r="AQ80" s="17" t="s">
        <v>1</v>
      </c>
      <c r="AR80" s="12"/>
      <c r="AS80" s="12"/>
      <c r="AT80" s="21"/>
      <c r="AU80" s="17">
        <v>44</v>
      </c>
      <c r="AV80" s="17">
        <v>46</v>
      </c>
      <c r="AW80" s="17">
        <v>6</v>
      </c>
      <c r="AX80" s="17">
        <v>4</v>
      </c>
      <c r="AY80" s="19">
        <v>341</v>
      </c>
      <c r="AZ80" s="17">
        <v>3</v>
      </c>
      <c r="BA80" s="12"/>
      <c r="BB80" s="18">
        <v>4</v>
      </c>
      <c r="BC80" s="7"/>
      <c r="BD80" s="20" t="s">
        <v>62</v>
      </c>
      <c r="BE80" s="1"/>
    </row>
    <row r="81" spans="1:57" s="123" customFormat="1" ht="15" customHeight="1" x14ac:dyDescent="0.2">
      <c r="A81" s="1"/>
      <c r="B81" s="1"/>
      <c r="C81" s="1"/>
      <c r="D81" s="3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7"/>
      <c r="AQ81" s="17" t="s">
        <v>40</v>
      </c>
      <c r="AR81" s="12"/>
      <c r="AS81" s="12"/>
      <c r="AT81" s="21"/>
      <c r="AU81" s="17">
        <v>60</v>
      </c>
      <c r="AV81" s="17">
        <v>60</v>
      </c>
      <c r="AW81" s="17">
        <v>8</v>
      </c>
      <c r="AX81" s="21"/>
      <c r="AY81" s="13"/>
      <c r="AZ81" s="17">
        <v>4</v>
      </c>
      <c r="BA81" s="15"/>
      <c r="BB81" s="18">
        <v>5</v>
      </c>
      <c r="BC81" s="18"/>
      <c r="BD81" s="20" t="s">
        <v>63</v>
      </c>
      <c r="BE81" s="1"/>
    </row>
    <row r="82" spans="1:57" s="123" customFormat="1" ht="15" customHeight="1" x14ac:dyDescent="0.2">
      <c r="A82" s="1"/>
      <c r="B82" s="1"/>
      <c r="C82" s="1"/>
      <c r="D82" s="3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7"/>
      <c r="AQ82" s="17"/>
      <c r="AR82" s="12"/>
      <c r="AS82" s="12"/>
      <c r="AT82" s="21"/>
      <c r="AU82" s="17">
        <v>90</v>
      </c>
      <c r="AV82" s="12"/>
      <c r="AW82" s="17">
        <v>9</v>
      </c>
      <c r="AX82" s="21"/>
      <c r="AY82" s="13"/>
      <c r="AZ82" s="17">
        <v>5</v>
      </c>
      <c r="BA82" s="15"/>
      <c r="BB82" s="18">
        <v>6</v>
      </c>
      <c r="BC82" s="15"/>
      <c r="BD82" s="20" t="s">
        <v>64</v>
      </c>
      <c r="BE82" s="1"/>
    </row>
    <row r="83" spans="1:57" s="123" customFormat="1" ht="15" customHeight="1" x14ac:dyDescent="0.2">
      <c r="A83" s="1"/>
      <c r="B83" s="1"/>
      <c r="C83" s="1"/>
      <c r="D83" s="3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7"/>
      <c r="AQ83" s="17"/>
      <c r="AR83" s="12"/>
      <c r="AS83" s="22"/>
      <c r="AT83" s="21"/>
      <c r="AU83" s="12"/>
      <c r="AV83" s="12"/>
      <c r="AW83" s="12"/>
      <c r="AX83" s="21"/>
      <c r="AY83" s="13"/>
      <c r="AZ83" s="17">
        <v>6</v>
      </c>
      <c r="BA83" s="22"/>
      <c r="BB83" s="18">
        <v>7</v>
      </c>
      <c r="BC83" s="15"/>
      <c r="BD83" s="20" t="s">
        <v>65</v>
      </c>
      <c r="BE83" s="1"/>
    </row>
    <row r="84" spans="1:57" s="123" customFormat="1" ht="15" customHeight="1" x14ac:dyDescent="0.2">
      <c r="A84" s="1"/>
      <c r="B84" s="1"/>
      <c r="C84" s="1"/>
      <c r="D84" s="3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2"/>
      <c r="AQ84" s="12"/>
      <c r="AR84" s="12"/>
      <c r="AS84" s="22"/>
      <c r="AT84" s="25" t="s">
        <v>136</v>
      </c>
      <c r="AU84" s="15"/>
      <c r="AV84" s="12"/>
      <c r="AW84" s="12"/>
      <c r="AX84" s="21"/>
      <c r="AY84" s="13"/>
      <c r="AZ84" s="22"/>
      <c r="BA84" s="22"/>
      <c r="BB84" s="18">
        <v>8</v>
      </c>
      <c r="BC84" s="15"/>
      <c r="BD84" s="20" t="s">
        <v>66</v>
      </c>
      <c r="BE84" s="1"/>
    </row>
    <row r="85" spans="1:57" ht="15" customHeight="1" x14ac:dyDescent="0.2">
      <c r="AP85" s="12"/>
      <c r="AQ85" s="12"/>
      <c r="AR85" s="12"/>
      <c r="AS85" s="13"/>
      <c r="AT85" s="25" t="s">
        <v>137</v>
      </c>
      <c r="AU85" s="14"/>
      <c r="AV85" s="12"/>
      <c r="AW85" s="12"/>
      <c r="AX85" s="21"/>
      <c r="AY85" s="12"/>
      <c r="AZ85" s="22"/>
      <c r="BA85" s="22"/>
      <c r="BB85" s="18">
        <v>9</v>
      </c>
      <c r="BC85" s="15"/>
      <c r="BD85" s="20" t="s">
        <v>67</v>
      </c>
    </row>
    <row r="86" spans="1:57" ht="15" customHeight="1" x14ac:dyDescent="0.2">
      <c r="AP86" s="12"/>
      <c r="AQ86" s="12"/>
      <c r="AR86" s="12"/>
      <c r="AS86" s="13"/>
      <c r="AT86" s="25" t="s">
        <v>138</v>
      </c>
      <c r="AU86" s="12"/>
      <c r="AV86" s="12"/>
      <c r="AW86" s="12"/>
      <c r="AX86" s="21"/>
      <c r="AY86" s="12"/>
      <c r="AZ86" s="15"/>
      <c r="BA86" s="15"/>
      <c r="BB86" s="18">
        <v>10</v>
      </c>
      <c r="BC86" s="15"/>
      <c r="BD86" s="20" t="s">
        <v>69</v>
      </c>
    </row>
    <row r="87" spans="1:57" ht="15" customHeight="1" x14ac:dyDescent="0.2">
      <c r="AP87" s="15"/>
      <c r="AQ87" s="15"/>
      <c r="AR87" s="12"/>
      <c r="AS87" s="13"/>
      <c r="AT87" s="23"/>
      <c r="AU87" s="15"/>
      <c r="AV87" s="15"/>
      <c r="AW87" s="12"/>
      <c r="AX87" s="23"/>
      <c r="AY87" s="12"/>
      <c r="AZ87" s="15"/>
      <c r="BA87" s="15"/>
      <c r="BB87" s="18">
        <v>11</v>
      </c>
      <c r="BC87" s="22"/>
      <c r="BD87" s="20" t="s">
        <v>68</v>
      </c>
    </row>
    <row r="88" spans="1:57" ht="15" customHeight="1" x14ac:dyDescent="0.2">
      <c r="AP88" s="14"/>
      <c r="AQ88" s="14"/>
      <c r="AR88" s="12"/>
      <c r="AS88" s="13"/>
      <c r="AT88" s="23"/>
      <c r="AU88" s="14"/>
      <c r="AV88" s="14"/>
      <c r="AW88" s="12"/>
      <c r="AX88" s="14"/>
      <c r="AY88" s="12"/>
      <c r="AZ88" s="15"/>
      <c r="BA88" s="15"/>
      <c r="BB88" s="18">
        <v>12</v>
      </c>
      <c r="BC88" s="22"/>
      <c r="BD88" s="20" t="s">
        <v>70</v>
      </c>
    </row>
    <row r="89" spans="1:57" ht="15" customHeight="1" x14ac:dyDescent="0.2">
      <c r="AP89" s="12"/>
      <c r="AQ89" s="12"/>
      <c r="AR89" s="12"/>
      <c r="AS89" s="13"/>
      <c r="AT89" s="23"/>
      <c r="AU89" s="12"/>
      <c r="AV89" s="12"/>
      <c r="AW89" s="12"/>
      <c r="AX89" s="14"/>
      <c r="AY89" s="12"/>
      <c r="AZ89" s="12"/>
      <c r="BA89" s="12"/>
      <c r="BB89" s="7"/>
      <c r="BC89" s="22"/>
      <c r="BD89" s="20" t="s">
        <v>71</v>
      </c>
    </row>
  </sheetData>
  <sheetProtection insertColumns="0" insertRows="0" insertHyperlinks="0"/>
  <dataConsolidate/>
  <mergeCells count="249">
    <mergeCell ref="F23:Q23"/>
    <mergeCell ref="F24:Q24"/>
    <mergeCell ref="C76:AM76"/>
    <mergeCell ref="W15:AM15"/>
    <mergeCell ref="W16:AM16"/>
    <mergeCell ref="P19:S19"/>
    <mergeCell ref="AK18:AM18"/>
    <mergeCell ref="AK19:AM19"/>
    <mergeCell ref="AJ25:AM25"/>
    <mergeCell ref="AH25:AI25"/>
    <mergeCell ref="V32:X32"/>
    <mergeCell ref="V31:X31"/>
    <mergeCell ref="AG22:AI22"/>
    <mergeCell ref="AE22:AF22"/>
    <mergeCell ref="V22:Z22"/>
    <mergeCell ref="F21:Q21"/>
    <mergeCell ref="AC21:AD21"/>
    <mergeCell ref="AE21:AF21"/>
    <mergeCell ref="R25:V25"/>
    <mergeCell ref="AA21:AB21"/>
    <mergeCell ref="AA22:AB22"/>
    <mergeCell ref="AJ22:AM22"/>
    <mergeCell ref="AA25:AD25"/>
    <mergeCell ref="AE25:AG25"/>
    <mergeCell ref="F20:AM20"/>
    <mergeCell ref="S21:U21"/>
    <mergeCell ref="K3:AF3"/>
    <mergeCell ref="K4:AF4"/>
    <mergeCell ref="W13:X13"/>
    <mergeCell ref="Y13:AC13"/>
    <mergeCell ref="AD13:AM13"/>
    <mergeCell ref="AJ3:AM4"/>
    <mergeCell ref="AD12:AM12"/>
    <mergeCell ref="F13:V13"/>
    <mergeCell ref="W9:AM9"/>
    <mergeCell ref="U9:V9"/>
    <mergeCell ref="AG3:AI3"/>
    <mergeCell ref="AG7:AI7"/>
    <mergeCell ref="J6:AF6"/>
    <mergeCell ref="J7:AF7"/>
    <mergeCell ref="AL7:AM7"/>
    <mergeCell ref="F12:V12"/>
    <mergeCell ref="W12:X12"/>
    <mergeCell ref="F10:T10"/>
    <mergeCell ref="F9:T9"/>
    <mergeCell ref="Y12:AC12"/>
    <mergeCell ref="AG4:AI4"/>
    <mergeCell ref="F5:AM5"/>
    <mergeCell ref="D3:J4"/>
    <mergeCell ref="F32:G32"/>
    <mergeCell ref="Y31:Z31"/>
    <mergeCell ref="R32:U32"/>
    <mergeCell ref="H32:L32"/>
    <mergeCell ref="W26:Z26"/>
    <mergeCell ref="AA26:AD26"/>
    <mergeCell ref="H31:L31"/>
    <mergeCell ref="AF32:AI32"/>
    <mergeCell ref="AA31:AE31"/>
    <mergeCell ref="F29:M29"/>
    <mergeCell ref="D6:D16"/>
    <mergeCell ref="L19:O19"/>
    <mergeCell ref="X19:Y19"/>
    <mergeCell ref="Z19:AB19"/>
    <mergeCell ref="F11:AM11"/>
    <mergeCell ref="W10:AM10"/>
    <mergeCell ref="F8:AM8"/>
    <mergeCell ref="F17:AM17"/>
    <mergeCell ref="U10:V10"/>
    <mergeCell ref="P18:S18"/>
    <mergeCell ref="F16:V16"/>
    <mergeCell ref="F15:V15"/>
    <mergeCell ref="F19:G19"/>
    <mergeCell ref="T18:W18"/>
    <mergeCell ref="X18:Y18"/>
    <mergeCell ref="Z18:AB18"/>
    <mergeCell ref="AH18:AJ18"/>
    <mergeCell ref="H18:I18"/>
    <mergeCell ref="T19:W19"/>
    <mergeCell ref="J18:K18"/>
    <mergeCell ref="L18:O18"/>
    <mergeCell ref="AH19:AJ19"/>
    <mergeCell ref="H19:I19"/>
    <mergeCell ref="D18:D24"/>
    <mergeCell ref="D25:D29"/>
    <mergeCell ref="F28:M28"/>
    <mergeCell ref="AE26:AG26"/>
    <mergeCell ref="V21:Z21"/>
    <mergeCell ref="F25:K25"/>
    <mergeCell ref="AC22:AD22"/>
    <mergeCell ref="R26:V26"/>
    <mergeCell ref="AG21:AI21"/>
    <mergeCell ref="Q28:X28"/>
    <mergeCell ref="S22:U22"/>
    <mergeCell ref="AF29:AI29"/>
    <mergeCell ref="N28:P28"/>
    <mergeCell ref="Y28:AE28"/>
    <mergeCell ref="F22:Q22"/>
    <mergeCell ref="L25:Q25"/>
    <mergeCell ref="N29:P29"/>
    <mergeCell ref="F26:K26"/>
    <mergeCell ref="L26:Q26"/>
    <mergeCell ref="F27:AM27"/>
    <mergeCell ref="Y29:AE29"/>
    <mergeCell ref="AJ29:AM29"/>
    <mergeCell ref="AH26:AI26"/>
    <mergeCell ref="Q29:X29"/>
    <mergeCell ref="AF28:AI28"/>
    <mergeCell ref="F69:AM69"/>
    <mergeCell ref="K73:AM73"/>
    <mergeCell ref="K72:AM72"/>
    <mergeCell ref="M60:U60"/>
    <mergeCell ref="K64:N64"/>
    <mergeCell ref="P64:Q64"/>
    <mergeCell ref="S64:U64"/>
    <mergeCell ref="F63:AM63"/>
    <mergeCell ref="F61:AM61"/>
    <mergeCell ref="F71:AM71"/>
    <mergeCell ref="O62:U62"/>
    <mergeCell ref="V62:AM62"/>
    <mergeCell ref="F65:AM65"/>
    <mergeCell ref="F60:I60"/>
    <mergeCell ref="J60:L60"/>
    <mergeCell ref="V60:AM60"/>
    <mergeCell ref="M59:U59"/>
    <mergeCell ref="F49:V49"/>
    <mergeCell ref="W49:AM49"/>
    <mergeCell ref="AI52:AM52"/>
    <mergeCell ref="W53:AM53"/>
    <mergeCell ref="F56:P56"/>
    <mergeCell ref="Q48:S48"/>
    <mergeCell ref="D31:D41"/>
    <mergeCell ref="F42:AM42"/>
    <mergeCell ref="X41:AA41"/>
    <mergeCell ref="AH40:AI40"/>
    <mergeCell ref="AB40:AC40"/>
    <mergeCell ref="Y37:AA37"/>
    <mergeCell ref="Y38:AA38"/>
    <mergeCell ref="M31:Q31"/>
    <mergeCell ref="AF31:AI31"/>
    <mergeCell ref="AA32:AE32"/>
    <mergeCell ref="AF38:AM38"/>
    <mergeCell ref="F40:G40"/>
    <mergeCell ref="AF37:AM37"/>
    <mergeCell ref="F38:X38"/>
    <mergeCell ref="F34:AM34"/>
    <mergeCell ref="F33:AM33"/>
    <mergeCell ref="Y32:Z32"/>
    <mergeCell ref="F31:G31"/>
    <mergeCell ref="M32:Q32"/>
    <mergeCell ref="F35:AM35"/>
    <mergeCell ref="AD41:AG41"/>
    <mergeCell ref="AJ41:AM41"/>
    <mergeCell ref="H41:W41"/>
    <mergeCell ref="H40:W40"/>
    <mergeCell ref="AL6:AM6"/>
    <mergeCell ref="AJ6:AK6"/>
    <mergeCell ref="AD48:AH48"/>
    <mergeCell ref="AI48:AM48"/>
    <mergeCell ref="AJ7:AK7"/>
    <mergeCell ref="X40:AA40"/>
    <mergeCell ref="AB38:AE38"/>
    <mergeCell ref="AJ26:AM26"/>
    <mergeCell ref="W44:AC44"/>
    <mergeCell ref="AI43:AM43"/>
    <mergeCell ref="F46:AM46"/>
    <mergeCell ref="W45:AM45"/>
    <mergeCell ref="F6:I6"/>
    <mergeCell ref="F7:I7"/>
    <mergeCell ref="R31:U31"/>
    <mergeCell ref="F41:G41"/>
    <mergeCell ref="AI44:AM44"/>
    <mergeCell ref="AD43:AH43"/>
    <mergeCell ref="AD44:AH44"/>
    <mergeCell ref="F37:X37"/>
    <mergeCell ref="AB37:AE37"/>
    <mergeCell ref="F30:AM30"/>
    <mergeCell ref="AI47:AM47"/>
    <mergeCell ref="F48:P48"/>
    <mergeCell ref="F59:I59"/>
    <mergeCell ref="J59:L59"/>
    <mergeCell ref="V59:AM59"/>
    <mergeCell ref="F57:V57"/>
    <mergeCell ref="Q56:S56"/>
    <mergeCell ref="W56:AC56"/>
    <mergeCell ref="AD56:AH56"/>
    <mergeCell ref="AI56:AM56"/>
    <mergeCell ref="D74:AM74"/>
    <mergeCell ref="F66:AM66"/>
    <mergeCell ref="F62:N62"/>
    <mergeCell ref="F68:AM68"/>
    <mergeCell ref="F72:J72"/>
    <mergeCell ref="F67:AM67"/>
    <mergeCell ref="F73:J73"/>
    <mergeCell ref="D43:D57"/>
    <mergeCell ref="H64:I64"/>
    <mergeCell ref="F70:AM70"/>
    <mergeCell ref="D59:D73"/>
    <mergeCell ref="Q43:S43"/>
    <mergeCell ref="Q44:S44"/>
    <mergeCell ref="F43:P43"/>
    <mergeCell ref="F44:P44"/>
    <mergeCell ref="F50:P50"/>
    <mergeCell ref="F58:AM58"/>
    <mergeCell ref="W57:AM57"/>
    <mergeCell ref="F55:V55"/>
    <mergeCell ref="W55:AM55"/>
    <mergeCell ref="Q50:S50"/>
    <mergeCell ref="W50:AC50"/>
    <mergeCell ref="F51:V51"/>
    <mergeCell ref="W51:AM51"/>
    <mergeCell ref="W48:AC48"/>
    <mergeCell ref="AJ32:AM32"/>
    <mergeCell ref="F45:V45"/>
    <mergeCell ref="F52:P52"/>
    <mergeCell ref="Q52:S52"/>
    <mergeCell ref="Q54:S54"/>
    <mergeCell ref="W54:AC54"/>
    <mergeCell ref="AD54:AH54"/>
    <mergeCell ref="AD50:AH50"/>
    <mergeCell ref="W47:AC47"/>
    <mergeCell ref="W43:AC43"/>
    <mergeCell ref="AI50:AM50"/>
    <mergeCell ref="F47:P47"/>
    <mergeCell ref="Q47:S47"/>
    <mergeCell ref="AD47:AH47"/>
    <mergeCell ref="R24:AC24"/>
    <mergeCell ref="R23:AC23"/>
    <mergeCell ref="AD23:AM23"/>
    <mergeCell ref="AD24:AM24"/>
    <mergeCell ref="BF18:BW32"/>
    <mergeCell ref="AI54:AM54"/>
    <mergeCell ref="W52:AC52"/>
    <mergeCell ref="AD52:AH52"/>
    <mergeCell ref="F54:P54"/>
    <mergeCell ref="F53:V53"/>
    <mergeCell ref="AS39:AU39"/>
    <mergeCell ref="AH41:AI41"/>
    <mergeCell ref="AB41:AC41"/>
    <mergeCell ref="AD40:AG40"/>
    <mergeCell ref="AJ40:AM40"/>
    <mergeCell ref="F39:AM39"/>
    <mergeCell ref="J19:K19"/>
    <mergeCell ref="AC18:AG18"/>
    <mergeCell ref="AC19:AG19"/>
    <mergeCell ref="AJ21:AM21"/>
    <mergeCell ref="AJ28:AM28"/>
    <mergeCell ref="F36:AM36"/>
    <mergeCell ref="W25:Z25"/>
    <mergeCell ref="AJ31:AM31"/>
  </mergeCells>
  <conditionalFormatting sqref="F13">
    <cfRule type="cellIs" dxfId="11" priority="1" stopIfTrue="1" operator="equal">
      <formula>""</formula>
    </cfRule>
  </conditionalFormatting>
  <conditionalFormatting sqref="F16">
    <cfRule type="cellIs" dxfId="10" priority="10" stopIfTrue="1" operator="equal">
      <formula>""</formula>
    </cfRule>
  </conditionalFormatting>
  <conditionalFormatting sqref="F24">
    <cfRule type="cellIs" dxfId="9" priority="5" stopIfTrue="1" operator="equal">
      <formula>""</formula>
    </cfRule>
  </conditionalFormatting>
  <conditionalFormatting sqref="F26:Q26">
    <cfRule type="cellIs" dxfId="8" priority="29" stopIfTrue="1" operator="equal">
      <formula>""</formula>
    </cfRule>
  </conditionalFormatting>
  <conditionalFormatting sqref="J7 AG7 AJ7 AL7 F10 U10 W10 F19 H19 J19 L19 P19 T19 X19 AH19 F22 R22:S22 V22 AA22 AC22 AE22 AJ22 R26 W26 AA26 AE26 AH26 AJ26 AF29 AJ29 AA32 AF32 AJ32 F35 F38 Y38 AF38 F41 H41 X41">
    <cfRule type="cellIs" dxfId="7" priority="51" stopIfTrue="1" operator="equal">
      <formula>""</formula>
    </cfRule>
  </conditionalFormatting>
  <conditionalFormatting sqref="R24">
    <cfRule type="cellIs" dxfId="6" priority="2" stopIfTrue="1" operator="equal">
      <formula>""</formula>
    </cfRule>
  </conditionalFormatting>
  <conditionalFormatting sqref="W13 Y13 AD13">
    <cfRule type="cellIs" dxfId="5" priority="12" stopIfTrue="1" operator="equal">
      <formula>""</formula>
    </cfRule>
  </conditionalFormatting>
  <conditionalFormatting sqref="W16">
    <cfRule type="cellIs" dxfId="4" priority="11" stopIfTrue="1" operator="equal">
      <formula>""</formula>
    </cfRule>
  </conditionalFormatting>
  <conditionalFormatting sqref="Z19">
    <cfRule type="cellIs" dxfId="3" priority="7" stopIfTrue="1" operator="equal">
      <formula>""</formula>
    </cfRule>
  </conditionalFormatting>
  <conditionalFormatting sqref="AC19">
    <cfRule type="cellIs" dxfId="2" priority="6" stopIfTrue="1" operator="equal">
      <formula>""</formula>
    </cfRule>
  </conditionalFormatting>
  <conditionalFormatting sqref="AH41">
    <cfRule type="cellIs" dxfId="1" priority="8" stopIfTrue="1" operator="equal">
      <formula>""</formula>
    </cfRule>
  </conditionalFormatting>
  <conditionalFormatting sqref="AJ41">
    <cfRule type="cellIs" dxfId="0" priority="9" stopIfTrue="1" operator="equal">
      <formula>""</formula>
    </cfRule>
  </conditionalFormatting>
  <dataValidations count="27">
    <dataValidation type="list" allowBlank="1" showInputMessage="1" showErrorMessage="1" sqref="AJ7 T54 T56 T44 T48 T50 T52" xr:uid="{00000000-0002-0000-0000-000000000000}">
      <formula1>$AP$77:$AP$78</formula1>
    </dataValidation>
    <dataValidation type="list" allowBlank="1" showInputMessage="1" showErrorMessage="1" sqref="V44 V54 V48 V52 V50 V56" xr:uid="{00000000-0002-0000-0000-000001000000}">
      <formula1>$AX$77:$AX$80</formula1>
    </dataValidation>
    <dataValidation type="list" allowBlank="1" showInputMessage="1" showErrorMessage="1" sqref="J60" xr:uid="{00000000-0002-0000-0000-000002000000}">
      <formula1>$AT$77:$AT$79</formula1>
    </dataValidation>
    <dataValidation type="list" allowBlank="1" showInputMessage="1" showErrorMessage="1" sqref="F60" xr:uid="{00000000-0002-0000-0000-000003000000}">
      <formula1>$AT$84:$AT$86</formula1>
    </dataValidation>
    <dataValidation type="list" allowBlank="1" showInputMessage="1" showErrorMessage="1" sqref="AF32" xr:uid="{00000000-0002-0000-0000-000004000000}">
      <formula1>$AU$77:$AU$82</formula1>
    </dataValidation>
    <dataValidation type="list" allowBlank="1" showInputMessage="1" showErrorMessage="1" sqref="AJ32" xr:uid="{00000000-0002-0000-0000-000005000000}">
      <formula1>$AV$77:$AV$82</formula1>
    </dataValidation>
    <dataValidation type="list" allowBlank="1" showInputMessage="1" showErrorMessage="1" sqref="H19:I19 F32 AG22" xr:uid="{00000000-0002-0000-0000-000006000000}">
      <formula1>$AT$77:$AT$78</formula1>
    </dataValidation>
    <dataValidation type="list" allowBlank="1" showInputMessage="1" showErrorMessage="1" sqref="AE22" xr:uid="{00000000-0002-0000-0000-000007000000}">
      <formula1>$AS$77:$AS$82</formula1>
    </dataValidation>
    <dataValidation type="list" allowBlank="1" showInputMessage="1" showErrorMessage="1" sqref="S22" xr:uid="{00000000-0002-0000-0000-000008000000}">
      <formula1>$BA$77:$BA$78</formula1>
    </dataValidation>
    <dataValidation type="list" allowBlank="1" showInputMessage="1" showErrorMessage="1" sqref="R22" xr:uid="{00000000-0002-0000-0000-000009000000}">
      <formula1>$AR$77:$AR$79</formula1>
    </dataValidation>
    <dataValidation type="list" allowBlank="1" showInputMessage="1" showErrorMessage="1" sqref="J19:K19" xr:uid="{00000000-0002-0000-0000-00000A000000}">
      <formula1>$AZ$77:$AZ$83</formula1>
    </dataValidation>
    <dataValidation type="list" allowBlank="1" showInputMessage="1" showErrorMessage="1" sqref="F19:G19" xr:uid="{00000000-0002-0000-0000-00000B000000}">
      <formula1>$AW$77:$AW$82</formula1>
    </dataValidation>
    <dataValidation type="list" allowBlank="1" showInputMessage="1" showErrorMessage="1" sqref="AD13" xr:uid="{00000000-0002-0000-0000-00000C000000}">
      <formula1>$BD$77:$BD$89</formula1>
    </dataValidation>
    <dataValidation type="list" allowBlank="1" showInputMessage="1" showErrorMessage="1" sqref="AO41" xr:uid="{00000000-0002-0000-0000-00000D000000}">
      <formula1>#REF!</formula1>
    </dataValidation>
    <dataValidation type="list" allowBlank="1" showInputMessage="1" showErrorMessage="1" sqref="AL7" xr:uid="{00000000-0002-0000-0000-00000E000000}">
      <formula1>$AQ$77:$AQ$82</formula1>
    </dataValidation>
    <dataValidation type="list" allowBlank="1" showInputMessage="1" showErrorMessage="1" sqref="U44 U54 U52 U50 U48 U56" xr:uid="{00000000-0002-0000-0000-00000F000000}">
      <formula1>$BB$77:$BB$89</formula1>
    </dataValidation>
    <dataValidation type="textLength" allowBlank="1" showInputMessage="1" showErrorMessage="1" errorTitle="CPF" error="**Não digitar caracteres especiais **" promptTitle="CPF" prompt="** ATENÇÃO ** _x000a_Favor digitar somente números sem caracteres especiais" sqref="F26:K26" xr:uid="{00000000-0002-0000-0000-000010000000}">
      <formula1>0</formula1>
      <formula2>11</formula2>
    </dataValidation>
    <dataValidation type="textLength" allowBlank="1" showInputMessage="1" showErrorMessage="1" errorTitle="PIS PASEP NIT" error="** Não digitar caratceres especiais **" promptTitle="PIS PASEP NIT" prompt="** ATENÇÃO **_x000a_Digitar somente números, sem caracteres especiais" sqref="L26:Q26" xr:uid="{00000000-0002-0000-0000-000013000000}">
      <formula1>0</formula1>
      <formula2>11</formula2>
    </dataValidation>
    <dataValidation allowBlank="1" showInputMessage="1" showErrorMessage="1" promptTitle="Carteira de identidade" prompt="** ATENÇÃO ** _x000a_Digitar somente letras E números &quot;sem caracteres especiais&quot;" sqref="R26:V26" xr:uid="{00000000-0002-0000-0000-000014000000}"/>
    <dataValidation allowBlank="1" showInputMessage="1" showErrorMessage="1" promptTitle="CNH" prompt="** ATENÇÃO **_x000a_Digitar somente números, sem caracteres especiais" sqref="F29:M29" xr:uid="{00000000-0002-0000-0000-000015000000}"/>
    <dataValidation allowBlank="1" showInputMessage="1" showErrorMessage="1" promptTitle="Certificado de Reservista" prompt="** ATENÇÃO **_x000a_Digitar somente números, sem caracteres especiais" sqref="Q29:X29" xr:uid="{00000000-0002-0000-0000-000016000000}"/>
    <dataValidation allowBlank="1" showInputMessage="1" showErrorMessage="1" promptTitle="Titulo Eleitoral" prompt="** ATENÇÃO **_x000a_Digitar somente números, sem caracteres especiais" sqref="Y29:AE29" xr:uid="{00000000-0002-0000-0000-000017000000}"/>
    <dataValidation allowBlank="1" showInputMessage="1" showErrorMessage="1" promptTitle="Horário / Escala de Trabalho GPE" prompt="Horário já deve ter sido criado no SIGAGPE (Protheus) e transmitido ao e-social._x000a_Deve quardar relação com a jornada mês informada, sendo por exemplo:_x000a_Jornada mês 180 / 30 = 6 (total de horas diárias)" sqref="F35:AM35" xr:uid="{00000000-0002-0000-0000-000018000000}"/>
    <dataValidation type="textLength" allowBlank="1" showInputMessage="1" showErrorMessage="1" promptTitle="CEP" prompt="** ATENÇÃO **_x000a_Digitar somente números sem caracteres especiais!!!" sqref="X41:AA41" xr:uid="{00000000-0002-0000-0000-000019000000}">
      <formula1>0</formula1>
      <formula2>8</formula2>
    </dataValidation>
    <dataValidation allowBlank="1" showInputMessage="1" showErrorMessage="1" promptTitle="TELEFONE FIXO" prompt="** ATENÇÃO **_x000a_Digitar somente números sem caracteres especiais" sqref="AD41:AG41" xr:uid="{00000000-0002-0000-0000-00001A000000}"/>
    <dataValidation allowBlank="1" showInputMessage="1" showErrorMessage="1" promptTitle="TELEFONE CELULAR" prompt="** ATENÇÃO **_x000a_Digitar somente números sem caracteres especiais" sqref="AJ41:AM41" xr:uid="{00000000-0002-0000-0000-00001B000000}"/>
    <dataValidation type="list" allowBlank="1" showInputMessage="1" showErrorMessage="1" sqref="X19:Y19" xr:uid="{00000000-0002-0000-0000-00001D000000}">
      <formula1>$AY$77</formula1>
    </dataValidation>
  </dataValidations>
  <printOptions horizontalCentered="1" verticalCentered="1"/>
  <pageMargins left="0.19685039370078741" right="0.19685039370078741" top="0.39370078740157483" bottom="0.39370078740157483" header="0.19685039370078741" footer="0.19685039370078741"/>
  <pageSetup paperSize="9" scale="97" orientation="portrait" horizontalDpi="300" verticalDpi="300" r:id="rId1"/>
  <headerFooter>
    <oddFooter>&amp;LImpresso em: &amp;"Arial,Negrito"&amp;D&amp;RVerifique no SIG se existe revisão + atualiada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75E242-99DF-49FE-A62F-93192D079C83}">
          <x14:formula1>
            <xm:f>'DEPTO (Pesquisável)'!$B$3:$B$96</xm:f>
          </x14:formula1>
          <xm:sqref>F24:Q24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19C0-4637-4A20-AC00-02A9274D2ACE}">
  <sheetPr>
    <tabColor rgb="FFC00000"/>
  </sheetPr>
  <dimension ref="B1:G97"/>
  <sheetViews>
    <sheetView showGridLines="0" topLeftCell="A66" workbookViewId="0">
      <selection activeCell="G98" sqref="G98"/>
    </sheetView>
  </sheetViews>
  <sheetFormatPr defaultColWidth="9.140625" defaultRowHeight="11.25" x14ac:dyDescent="0.2"/>
  <cols>
    <col min="1" max="1" width="0.85546875" style="21" customWidth="1"/>
    <col min="2" max="2" width="15.85546875" style="109" bestFit="1" customWidth="1"/>
    <col min="3" max="3" width="29.140625" style="108" bestFit="1" customWidth="1"/>
    <col min="4" max="4" width="11.5703125" style="108" bestFit="1" customWidth="1"/>
    <col min="5" max="5" width="36.140625" style="108" bestFit="1" customWidth="1"/>
    <col min="6" max="6" width="12.28515625" style="108" bestFit="1" customWidth="1"/>
    <col min="7" max="7" width="18.7109375" style="108" bestFit="1" customWidth="1"/>
    <col min="8" max="16384" width="9.140625" style="21"/>
  </cols>
  <sheetData>
    <row r="1" spans="2:7" ht="5.0999999999999996" customHeight="1" x14ac:dyDescent="0.2"/>
    <row r="2" spans="2:7" s="107" customFormat="1" x14ac:dyDescent="0.2">
      <c r="B2" s="110" t="s">
        <v>143</v>
      </c>
      <c r="C2" s="111" t="s">
        <v>145</v>
      </c>
      <c r="D2" s="111" t="s">
        <v>146</v>
      </c>
      <c r="E2" s="111" t="s">
        <v>147</v>
      </c>
      <c r="F2" s="111" t="s">
        <v>148</v>
      </c>
      <c r="G2" s="111" t="s">
        <v>149</v>
      </c>
    </row>
    <row r="3" spans="2:7" x14ac:dyDescent="0.2">
      <c r="B3" s="109">
        <v>1</v>
      </c>
      <c r="C3" s="108" t="s">
        <v>150</v>
      </c>
      <c r="D3" s="108">
        <v>12602</v>
      </c>
      <c r="E3" s="108" t="s">
        <v>150</v>
      </c>
      <c r="F3" s="108">
        <v>1</v>
      </c>
      <c r="G3" s="108" t="s">
        <v>151</v>
      </c>
    </row>
    <row r="4" spans="2:7" x14ac:dyDescent="0.2">
      <c r="B4" s="109">
        <v>2</v>
      </c>
      <c r="C4" s="108" t="s">
        <v>152</v>
      </c>
      <c r="D4" s="108">
        <v>15510</v>
      </c>
      <c r="E4" s="108" t="s">
        <v>153</v>
      </c>
      <c r="F4" s="108">
        <v>1</v>
      </c>
      <c r="G4" s="108" t="s">
        <v>151</v>
      </c>
    </row>
    <row r="5" spans="2:7" x14ac:dyDescent="0.2">
      <c r="B5" s="109">
        <v>3</v>
      </c>
      <c r="C5" s="108" t="s">
        <v>154</v>
      </c>
      <c r="D5" s="108">
        <v>12603</v>
      </c>
      <c r="E5" s="108" t="s">
        <v>154</v>
      </c>
      <c r="F5" s="108">
        <v>1</v>
      </c>
      <c r="G5" s="108" t="s">
        <v>151</v>
      </c>
    </row>
    <row r="6" spans="2:7" x14ac:dyDescent="0.2">
      <c r="B6" s="109">
        <v>4</v>
      </c>
      <c r="C6" s="108" t="s">
        <v>155</v>
      </c>
      <c r="D6" s="108">
        <v>12402</v>
      </c>
      <c r="E6" s="108" t="s">
        <v>156</v>
      </c>
      <c r="F6" s="108">
        <v>1</v>
      </c>
      <c r="G6" s="108" t="s">
        <v>151</v>
      </c>
    </row>
    <row r="7" spans="2:7" x14ac:dyDescent="0.2">
      <c r="B7" s="109">
        <v>5</v>
      </c>
      <c r="C7" s="108" t="s">
        <v>157</v>
      </c>
      <c r="D7" s="108">
        <v>12401</v>
      </c>
      <c r="E7" s="108" t="s">
        <v>158</v>
      </c>
      <c r="F7" s="108">
        <v>1</v>
      </c>
      <c r="G7" s="108" t="s">
        <v>151</v>
      </c>
    </row>
    <row r="8" spans="2:7" x14ac:dyDescent="0.2">
      <c r="B8" s="109">
        <v>6</v>
      </c>
      <c r="C8" s="108" t="s">
        <v>159</v>
      </c>
      <c r="D8" s="108">
        <v>12501</v>
      </c>
      <c r="E8" s="108" t="s">
        <v>160</v>
      </c>
      <c r="F8" s="108">
        <v>1</v>
      </c>
      <c r="G8" s="108" t="s">
        <v>151</v>
      </c>
    </row>
    <row r="9" spans="2:7" x14ac:dyDescent="0.2">
      <c r="B9" s="109">
        <v>7</v>
      </c>
      <c r="C9" s="108" t="s">
        <v>161</v>
      </c>
      <c r="D9" s="108">
        <v>12201</v>
      </c>
      <c r="E9" s="108" t="s">
        <v>161</v>
      </c>
      <c r="F9" s="108">
        <v>1</v>
      </c>
      <c r="G9" s="108" t="s">
        <v>151</v>
      </c>
    </row>
    <row r="10" spans="2:7" x14ac:dyDescent="0.2">
      <c r="B10" s="109">
        <v>8</v>
      </c>
      <c r="C10" s="108" t="s">
        <v>158</v>
      </c>
      <c r="D10" s="108">
        <v>12401</v>
      </c>
      <c r="E10" s="108" t="s">
        <v>158</v>
      </c>
      <c r="F10" s="108">
        <v>1</v>
      </c>
      <c r="G10" s="108" t="s">
        <v>151</v>
      </c>
    </row>
    <row r="11" spans="2:7" x14ac:dyDescent="0.2">
      <c r="B11" s="109">
        <v>9</v>
      </c>
      <c r="C11" s="108" t="s">
        <v>162</v>
      </c>
      <c r="D11" s="108">
        <v>12605</v>
      </c>
      <c r="E11" s="108" t="s">
        <v>163</v>
      </c>
      <c r="F11" s="108">
        <v>1</v>
      </c>
      <c r="G11" s="108" t="s">
        <v>151</v>
      </c>
    </row>
    <row r="12" spans="2:7" x14ac:dyDescent="0.2">
      <c r="B12" s="109">
        <v>10</v>
      </c>
      <c r="C12" s="108" t="s">
        <v>164</v>
      </c>
      <c r="D12" s="108">
        <v>12701</v>
      </c>
      <c r="E12" s="108" t="s">
        <v>164</v>
      </c>
      <c r="F12" s="108">
        <v>1</v>
      </c>
      <c r="G12" s="108" t="s">
        <v>151</v>
      </c>
    </row>
    <row r="13" spans="2:7" x14ac:dyDescent="0.2">
      <c r="B13" s="109">
        <v>11</v>
      </c>
      <c r="C13" s="108" t="s">
        <v>165</v>
      </c>
      <c r="D13" s="108">
        <v>13201</v>
      </c>
      <c r="E13" s="108" t="s">
        <v>166</v>
      </c>
      <c r="F13" s="108">
        <v>1</v>
      </c>
      <c r="G13" s="108" t="s">
        <v>151</v>
      </c>
    </row>
    <row r="14" spans="2:7" x14ac:dyDescent="0.2">
      <c r="B14" s="109">
        <v>12</v>
      </c>
      <c r="C14" s="108" t="s">
        <v>167</v>
      </c>
      <c r="D14" s="108">
        <v>1420104</v>
      </c>
      <c r="E14" s="108" t="s">
        <v>168</v>
      </c>
      <c r="F14" s="108">
        <v>1</v>
      </c>
      <c r="G14" s="108" t="s">
        <v>151</v>
      </c>
    </row>
    <row r="15" spans="2:7" x14ac:dyDescent="0.2">
      <c r="B15" s="109">
        <v>13</v>
      </c>
      <c r="C15" s="108" t="s">
        <v>169</v>
      </c>
      <c r="D15" s="108">
        <v>12001</v>
      </c>
      <c r="E15" s="108" t="s">
        <v>169</v>
      </c>
      <c r="F15" s="108">
        <v>1</v>
      </c>
      <c r="G15" s="108" t="s">
        <v>151</v>
      </c>
    </row>
    <row r="16" spans="2:7" x14ac:dyDescent="0.2">
      <c r="B16" s="109">
        <v>14</v>
      </c>
      <c r="C16" s="108" t="s">
        <v>170</v>
      </c>
      <c r="D16" s="108">
        <v>12101</v>
      </c>
      <c r="E16" s="108" t="s">
        <v>170</v>
      </c>
      <c r="F16" s="108">
        <v>1</v>
      </c>
      <c r="G16" s="108" t="s">
        <v>151</v>
      </c>
    </row>
    <row r="17" spans="2:7" x14ac:dyDescent="0.2">
      <c r="B17" s="109">
        <v>15</v>
      </c>
      <c r="C17" s="108" t="s">
        <v>171</v>
      </c>
      <c r="D17" s="108">
        <v>12502</v>
      </c>
      <c r="E17" s="108" t="s">
        <v>171</v>
      </c>
      <c r="F17" s="108">
        <v>1</v>
      </c>
      <c r="G17" s="108" t="s">
        <v>151</v>
      </c>
    </row>
    <row r="18" spans="2:7" x14ac:dyDescent="0.2">
      <c r="B18" s="109">
        <v>16</v>
      </c>
      <c r="C18" s="108" t="s">
        <v>172</v>
      </c>
      <c r="D18" s="108">
        <v>1540287</v>
      </c>
      <c r="E18" s="108" t="s">
        <v>173</v>
      </c>
      <c r="F18" s="108">
        <v>2</v>
      </c>
      <c r="G18" s="108" t="s">
        <v>174</v>
      </c>
    </row>
    <row r="19" spans="2:7" x14ac:dyDescent="0.2">
      <c r="B19" s="109">
        <v>17</v>
      </c>
      <c r="C19" s="108" t="s">
        <v>175</v>
      </c>
      <c r="D19" s="108">
        <v>1540292</v>
      </c>
      <c r="E19" s="108" t="s">
        <v>176</v>
      </c>
      <c r="F19" s="108">
        <v>3</v>
      </c>
      <c r="G19" s="108" t="s">
        <v>177</v>
      </c>
    </row>
    <row r="20" spans="2:7" x14ac:dyDescent="0.2">
      <c r="B20" s="109">
        <v>18</v>
      </c>
      <c r="C20" s="108" t="s">
        <v>178</v>
      </c>
      <c r="D20" s="108">
        <v>1540295</v>
      </c>
      <c r="E20" s="108" t="s">
        <v>179</v>
      </c>
      <c r="F20" s="108">
        <v>4</v>
      </c>
      <c r="G20" s="108" t="s">
        <v>180</v>
      </c>
    </row>
    <row r="21" spans="2:7" x14ac:dyDescent="0.2">
      <c r="B21" s="109">
        <v>19</v>
      </c>
      <c r="C21" s="108" t="s">
        <v>181</v>
      </c>
      <c r="D21" s="108">
        <v>1540291</v>
      </c>
      <c r="E21" s="108" t="s">
        <v>182</v>
      </c>
      <c r="F21" s="108">
        <v>5</v>
      </c>
      <c r="G21" s="108" t="s">
        <v>183</v>
      </c>
    </row>
    <row r="22" spans="2:7" x14ac:dyDescent="0.2">
      <c r="B22" s="109">
        <v>20</v>
      </c>
      <c r="C22" s="108" t="s">
        <v>184</v>
      </c>
      <c r="D22" s="108">
        <v>1540291</v>
      </c>
      <c r="E22" s="108" t="s">
        <v>182</v>
      </c>
      <c r="F22" s="108">
        <v>5</v>
      </c>
      <c r="G22" s="108" t="s">
        <v>183</v>
      </c>
    </row>
    <row r="23" spans="2:7" x14ac:dyDescent="0.2">
      <c r="B23" s="109">
        <v>21</v>
      </c>
      <c r="C23" s="108" t="s">
        <v>185</v>
      </c>
      <c r="D23" s="108">
        <v>1540291</v>
      </c>
      <c r="E23" s="108" t="s">
        <v>182</v>
      </c>
      <c r="F23" s="108">
        <v>5</v>
      </c>
      <c r="G23" s="108" t="s">
        <v>183</v>
      </c>
    </row>
    <row r="24" spans="2:7" x14ac:dyDescent="0.2">
      <c r="B24" s="109">
        <v>22</v>
      </c>
      <c r="C24" s="108" t="s">
        <v>181</v>
      </c>
      <c r="D24" s="108">
        <v>1540306</v>
      </c>
      <c r="E24" s="108" t="s">
        <v>186</v>
      </c>
      <c r="F24" s="108">
        <v>6</v>
      </c>
      <c r="G24" s="108" t="s">
        <v>187</v>
      </c>
    </row>
    <row r="25" spans="2:7" x14ac:dyDescent="0.2">
      <c r="B25" s="109">
        <v>23</v>
      </c>
      <c r="C25" s="108" t="s">
        <v>185</v>
      </c>
      <c r="D25" s="108">
        <v>1540306</v>
      </c>
      <c r="E25" s="108" t="s">
        <v>186</v>
      </c>
      <c r="F25" s="108">
        <v>6</v>
      </c>
      <c r="G25" s="108" t="s">
        <v>187</v>
      </c>
    </row>
    <row r="26" spans="2:7" x14ac:dyDescent="0.2">
      <c r="B26" s="109">
        <v>24</v>
      </c>
      <c r="C26" s="108" t="s">
        <v>184</v>
      </c>
      <c r="D26" s="108">
        <v>1540306</v>
      </c>
      <c r="E26" s="108" t="s">
        <v>186</v>
      </c>
      <c r="F26" s="108">
        <v>6</v>
      </c>
      <c r="G26" s="108" t="s">
        <v>187</v>
      </c>
    </row>
    <row r="27" spans="2:7" x14ac:dyDescent="0.2">
      <c r="B27" s="109">
        <v>25</v>
      </c>
      <c r="C27" s="108" t="s">
        <v>154</v>
      </c>
      <c r="D27" s="108">
        <v>1540278</v>
      </c>
      <c r="E27" s="108" t="s">
        <v>188</v>
      </c>
      <c r="F27" s="108">
        <v>7</v>
      </c>
      <c r="G27" s="108" t="s">
        <v>189</v>
      </c>
    </row>
    <row r="28" spans="2:7" x14ac:dyDescent="0.2">
      <c r="B28" s="109">
        <v>26</v>
      </c>
      <c r="C28" s="108" t="s">
        <v>190</v>
      </c>
      <c r="D28" s="108">
        <v>1540278</v>
      </c>
      <c r="E28" s="108" t="s">
        <v>188</v>
      </c>
      <c r="F28" s="108">
        <v>7</v>
      </c>
      <c r="G28" s="108" t="s">
        <v>189</v>
      </c>
    </row>
    <row r="29" spans="2:7" x14ac:dyDescent="0.2">
      <c r="B29" s="109">
        <v>27</v>
      </c>
      <c r="C29" s="108" t="s">
        <v>191</v>
      </c>
      <c r="D29" s="108">
        <v>1540278</v>
      </c>
      <c r="E29" s="108" t="s">
        <v>188</v>
      </c>
      <c r="F29" s="108">
        <v>7</v>
      </c>
      <c r="G29" s="108" t="s">
        <v>189</v>
      </c>
    </row>
    <row r="30" spans="2:7" x14ac:dyDescent="0.2">
      <c r="B30" s="109">
        <v>28</v>
      </c>
      <c r="C30" s="108" t="s">
        <v>192</v>
      </c>
      <c r="D30" s="108">
        <v>1540278</v>
      </c>
      <c r="E30" s="108" t="s">
        <v>188</v>
      </c>
      <c r="F30" s="108">
        <v>7</v>
      </c>
      <c r="G30" s="108" t="s">
        <v>189</v>
      </c>
    </row>
    <row r="31" spans="2:7" x14ac:dyDescent="0.2">
      <c r="B31" s="109">
        <v>29</v>
      </c>
      <c r="C31" s="108" t="s">
        <v>193</v>
      </c>
      <c r="D31" s="108">
        <v>1540278</v>
      </c>
      <c r="E31" s="108" t="s">
        <v>188</v>
      </c>
      <c r="F31" s="108">
        <v>7</v>
      </c>
      <c r="G31" s="108" t="s">
        <v>189</v>
      </c>
    </row>
    <row r="32" spans="2:7" x14ac:dyDescent="0.2">
      <c r="B32" s="109">
        <v>30</v>
      </c>
      <c r="C32" s="108" t="s">
        <v>194</v>
      </c>
      <c r="D32" s="108">
        <v>1540278</v>
      </c>
      <c r="E32" s="108" t="s">
        <v>188</v>
      </c>
      <c r="F32" s="108">
        <v>7</v>
      </c>
      <c r="G32" s="108" t="s">
        <v>189</v>
      </c>
    </row>
    <row r="33" spans="2:7" x14ac:dyDescent="0.2">
      <c r="B33" s="109">
        <v>31</v>
      </c>
      <c r="C33" s="108" t="s">
        <v>195</v>
      </c>
      <c r="D33" s="108">
        <v>1540278</v>
      </c>
      <c r="E33" s="108" t="s">
        <v>188</v>
      </c>
      <c r="F33" s="108">
        <v>7</v>
      </c>
      <c r="G33" s="108" t="s">
        <v>189</v>
      </c>
    </row>
    <row r="34" spans="2:7" x14ac:dyDescent="0.2">
      <c r="B34" s="109">
        <v>32</v>
      </c>
      <c r="C34" s="108" t="s">
        <v>196</v>
      </c>
      <c r="D34" s="108">
        <v>1540278</v>
      </c>
      <c r="E34" s="108" t="s">
        <v>188</v>
      </c>
      <c r="F34" s="108">
        <v>7</v>
      </c>
      <c r="G34" s="108" t="s">
        <v>189</v>
      </c>
    </row>
    <row r="35" spans="2:7" x14ac:dyDescent="0.2">
      <c r="B35" s="109">
        <v>33</v>
      </c>
      <c r="C35" s="108" t="s">
        <v>197</v>
      </c>
      <c r="D35" s="108">
        <v>1540278</v>
      </c>
      <c r="E35" s="108" t="s">
        <v>188</v>
      </c>
      <c r="F35" s="108">
        <v>7</v>
      </c>
      <c r="G35" s="108" t="s">
        <v>189</v>
      </c>
    </row>
    <row r="36" spans="2:7" x14ac:dyDescent="0.2">
      <c r="B36" s="109">
        <v>34</v>
      </c>
      <c r="C36" s="108" t="s">
        <v>184</v>
      </c>
      <c r="D36" s="108">
        <v>1540286</v>
      </c>
      <c r="E36" s="108" t="s">
        <v>198</v>
      </c>
      <c r="F36" s="108">
        <v>8</v>
      </c>
      <c r="G36" s="108" t="s">
        <v>199</v>
      </c>
    </row>
    <row r="37" spans="2:7" x14ac:dyDescent="0.2">
      <c r="B37" s="109">
        <v>35</v>
      </c>
      <c r="C37" s="108" t="s">
        <v>185</v>
      </c>
      <c r="D37" s="108">
        <v>1540286</v>
      </c>
      <c r="E37" s="108" t="s">
        <v>198</v>
      </c>
      <c r="F37" s="108">
        <v>8</v>
      </c>
      <c r="G37" s="108" t="s">
        <v>199</v>
      </c>
    </row>
    <row r="38" spans="2:7" x14ac:dyDescent="0.2">
      <c r="B38" s="109">
        <v>36</v>
      </c>
      <c r="C38" s="108" t="s">
        <v>200</v>
      </c>
      <c r="D38" s="108">
        <v>1540286</v>
      </c>
      <c r="E38" s="108" t="s">
        <v>198</v>
      </c>
      <c r="F38" s="108">
        <v>8</v>
      </c>
      <c r="G38" s="108" t="s">
        <v>199</v>
      </c>
    </row>
    <row r="39" spans="2:7" x14ac:dyDescent="0.2">
      <c r="B39" s="109">
        <v>37</v>
      </c>
      <c r="C39" s="108" t="s">
        <v>181</v>
      </c>
      <c r="D39" s="108">
        <v>1540286</v>
      </c>
      <c r="E39" s="108" t="s">
        <v>198</v>
      </c>
      <c r="F39" s="108">
        <v>8</v>
      </c>
      <c r="G39" s="108" t="s">
        <v>199</v>
      </c>
    </row>
    <row r="40" spans="2:7" x14ac:dyDescent="0.2">
      <c r="B40" s="109">
        <v>38</v>
      </c>
      <c r="C40" s="108" t="s">
        <v>181</v>
      </c>
      <c r="D40" s="108">
        <v>1540300</v>
      </c>
      <c r="E40" s="108" t="s">
        <v>201</v>
      </c>
      <c r="F40" s="108">
        <v>9</v>
      </c>
      <c r="G40" s="108" t="s">
        <v>202</v>
      </c>
    </row>
    <row r="41" spans="2:7" x14ac:dyDescent="0.2">
      <c r="B41" s="109">
        <v>39</v>
      </c>
      <c r="C41" s="108" t="s">
        <v>184</v>
      </c>
      <c r="D41" s="108">
        <v>1540300</v>
      </c>
      <c r="E41" s="108" t="s">
        <v>201</v>
      </c>
      <c r="F41" s="108">
        <v>9</v>
      </c>
      <c r="G41" s="108" t="s">
        <v>202</v>
      </c>
    </row>
    <row r="42" spans="2:7" x14ac:dyDescent="0.2">
      <c r="B42" s="109">
        <v>40</v>
      </c>
      <c r="C42" s="108" t="s">
        <v>185</v>
      </c>
      <c r="D42" s="108">
        <v>1540300</v>
      </c>
      <c r="E42" s="108" t="s">
        <v>201</v>
      </c>
      <c r="F42" s="108">
        <v>9</v>
      </c>
      <c r="G42" s="108" t="s">
        <v>202</v>
      </c>
    </row>
    <row r="43" spans="2:7" x14ac:dyDescent="0.2">
      <c r="B43" s="109">
        <v>41</v>
      </c>
      <c r="C43" s="108" t="s">
        <v>154</v>
      </c>
      <c r="D43" s="108">
        <v>1540297</v>
      </c>
      <c r="E43" s="108" t="s">
        <v>203</v>
      </c>
      <c r="F43" s="108">
        <v>10</v>
      </c>
      <c r="G43" s="108" t="s">
        <v>204</v>
      </c>
    </row>
    <row r="44" spans="2:7" x14ac:dyDescent="0.2">
      <c r="B44" s="109">
        <v>42</v>
      </c>
      <c r="C44" s="108" t="s">
        <v>205</v>
      </c>
      <c r="D44" s="108">
        <v>1540297</v>
      </c>
      <c r="E44" s="108" t="s">
        <v>203</v>
      </c>
      <c r="F44" s="108">
        <v>10</v>
      </c>
      <c r="G44" s="108" t="s">
        <v>204</v>
      </c>
    </row>
    <row r="45" spans="2:7" x14ac:dyDescent="0.2">
      <c r="B45" s="109">
        <v>43</v>
      </c>
      <c r="C45" s="108" t="s">
        <v>206</v>
      </c>
      <c r="D45" s="108">
        <v>1540297</v>
      </c>
      <c r="E45" s="108" t="s">
        <v>203</v>
      </c>
      <c r="F45" s="108">
        <v>10</v>
      </c>
      <c r="G45" s="108" t="s">
        <v>204</v>
      </c>
    </row>
    <row r="46" spans="2:7" x14ac:dyDescent="0.2">
      <c r="B46" s="109">
        <v>44</v>
      </c>
      <c r="C46" s="108" t="s">
        <v>207</v>
      </c>
      <c r="D46" s="108">
        <v>1540297</v>
      </c>
      <c r="E46" s="108" t="s">
        <v>203</v>
      </c>
      <c r="F46" s="108">
        <v>10</v>
      </c>
      <c r="G46" s="108" t="s">
        <v>204</v>
      </c>
    </row>
    <row r="47" spans="2:7" x14ac:dyDescent="0.2">
      <c r="B47" s="109">
        <v>45</v>
      </c>
      <c r="C47" s="108" t="s">
        <v>208</v>
      </c>
      <c r="D47" s="108">
        <v>1540297</v>
      </c>
      <c r="E47" s="108" t="s">
        <v>203</v>
      </c>
      <c r="F47" s="108">
        <v>10</v>
      </c>
      <c r="G47" s="108" t="s">
        <v>204</v>
      </c>
    </row>
    <row r="48" spans="2:7" x14ac:dyDescent="0.2">
      <c r="B48" s="109">
        <v>46</v>
      </c>
      <c r="C48" s="108" t="s">
        <v>209</v>
      </c>
      <c r="D48" s="108">
        <v>1540297</v>
      </c>
      <c r="E48" s="108" t="s">
        <v>203</v>
      </c>
      <c r="F48" s="108">
        <v>10</v>
      </c>
      <c r="G48" s="108" t="s">
        <v>204</v>
      </c>
    </row>
    <row r="49" spans="2:7" x14ac:dyDescent="0.2">
      <c r="B49" s="109">
        <v>47</v>
      </c>
      <c r="C49" s="108" t="s">
        <v>210</v>
      </c>
      <c r="D49" s="108">
        <v>1540297</v>
      </c>
      <c r="E49" s="108" t="s">
        <v>203</v>
      </c>
      <c r="F49" s="108">
        <v>10</v>
      </c>
      <c r="G49" s="108" t="s">
        <v>204</v>
      </c>
    </row>
    <row r="50" spans="2:7" x14ac:dyDescent="0.2">
      <c r="B50" s="109">
        <v>48</v>
      </c>
      <c r="C50" s="108" t="s">
        <v>211</v>
      </c>
      <c r="D50" s="108">
        <v>1540297</v>
      </c>
      <c r="E50" s="108" t="s">
        <v>203</v>
      </c>
      <c r="F50" s="108">
        <v>10</v>
      </c>
      <c r="G50" s="108" t="s">
        <v>204</v>
      </c>
    </row>
    <row r="51" spans="2:7" x14ac:dyDescent="0.2">
      <c r="B51" s="109">
        <v>49</v>
      </c>
      <c r="C51" s="108" t="s">
        <v>212</v>
      </c>
      <c r="D51" s="108">
        <v>1540297</v>
      </c>
      <c r="E51" s="108" t="s">
        <v>203</v>
      </c>
      <c r="F51" s="108">
        <v>10</v>
      </c>
      <c r="G51" s="108" t="s">
        <v>204</v>
      </c>
    </row>
    <row r="52" spans="2:7" x14ac:dyDescent="0.2">
      <c r="B52" s="109">
        <v>50</v>
      </c>
      <c r="C52" s="108" t="s">
        <v>213</v>
      </c>
      <c r="D52" s="108">
        <v>1540297</v>
      </c>
      <c r="E52" s="108" t="s">
        <v>203</v>
      </c>
      <c r="F52" s="108">
        <v>10</v>
      </c>
      <c r="G52" s="108" t="s">
        <v>204</v>
      </c>
    </row>
    <row r="53" spans="2:7" x14ac:dyDescent="0.2">
      <c r="B53" s="109">
        <v>51</v>
      </c>
      <c r="C53" s="108" t="s">
        <v>214</v>
      </c>
      <c r="D53" s="108">
        <v>1540297</v>
      </c>
      <c r="E53" s="108" t="s">
        <v>203</v>
      </c>
      <c r="F53" s="108">
        <v>10</v>
      </c>
      <c r="G53" s="108" t="s">
        <v>204</v>
      </c>
    </row>
    <row r="54" spans="2:7" x14ac:dyDescent="0.2">
      <c r="B54" s="109">
        <v>52</v>
      </c>
      <c r="C54" s="108" t="s">
        <v>215</v>
      </c>
      <c r="D54" s="108">
        <v>1540297</v>
      </c>
      <c r="E54" s="108" t="s">
        <v>203</v>
      </c>
      <c r="F54" s="108">
        <v>10</v>
      </c>
      <c r="G54" s="108" t="s">
        <v>204</v>
      </c>
    </row>
    <row r="55" spans="2:7" x14ac:dyDescent="0.2">
      <c r="B55" s="109">
        <v>53</v>
      </c>
      <c r="C55" s="108" t="s">
        <v>216</v>
      </c>
      <c r="D55" s="108">
        <v>1540297</v>
      </c>
      <c r="E55" s="108" t="s">
        <v>203</v>
      </c>
      <c r="F55" s="108">
        <v>10</v>
      </c>
      <c r="G55" s="108" t="s">
        <v>204</v>
      </c>
    </row>
    <row r="56" spans="2:7" x14ac:dyDescent="0.2">
      <c r="B56" s="109">
        <v>54</v>
      </c>
      <c r="C56" s="108" t="s">
        <v>217</v>
      </c>
      <c r="D56" s="108">
        <v>1540297</v>
      </c>
      <c r="E56" s="108" t="s">
        <v>203</v>
      </c>
      <c r="F56" s="108">
        <v>10</v>
      </c>
      <c r="G56" s="108" t="s">
        <v>204</v>
      </c>
    </row>
    <row r="57" spans="2:7" x14ac:dyDescent="0.2">
      <c r="B57" s="109">
        <v>55</v>
      </c>
      <c r="C57" s="108" t="s">
        <v>218</v>
      </c>
      <c r="D57" s="108">
        <v>1540297</v>
      </c>
      <c r="E57" s="108" t="s">
        <v>203</v>
      </c>
      <c r="F57" s="108">
        <v>10</v>
      </c>
      <c r="G57" s="108" t="s">
        <v>204</v>
      </c>
    </row>
    <row r="58" spans="2:7" x14ac:dyDescent="0.2">
      <c r="B58" s="109">
        <v>56</v>
      </c>
      <c r="C58" s="108" t="s">
        <v>219</v>
      </c>
      <c r="D58" s="108">
        <v>1540302</v>
      </c>
      <c r="E58" s="108" t="s">
        <v>220</v>
      </c>
      <c r="F58" s="108">
        <v>10</v>
      </c>
      <c r="G58" s="108" t="s">
        <v>204</v>
      </c>
    </row>
    <row r="59" spans="2:7" x14ac:dyDescent="0.2">
      <c r="B59" s="109">
        <v>57</v>
      </c>
      <c r="C59" s="108" t="s">
        <v>221</v>
      </c>
      <c r="D59" s="108">
        <v>1540297</v>
      </c>
      <c r="E59" s="108" t="s">
        <v>203</v>
      </c>
      <c r="F59" s="108">
        <v>10</v>
      </c>
      <c r="G59" s="108" t="s">
        <v>204</v>
      </c>
    </row>
    <row r="60" spans="2:7" x14ac:dyDescent="0.2">
      <c r="B60" s="109">
        <v>58</v>
      </c>
      <c r="C60" s="108" t="s">
        <v>222</v>
      </c>
      <c r="D60" s="108">
        <v>1540297</v>
      </c>
      <c r="E60" s="108" t="s">
        <v>203</v>
      </c>
      <c r="F60" s="108">
        <v>10</v>
      </c>
      <c r="G60" s="108" t="s">
        <v>204</v>
      </c>
    </row>
    <row r="61" spans="2:7" x14ac:dyDescent="0.2">
      <c r="B61" s="109">
        <v>59</v>
      </c>
      <c r="C61" s="108" t="s">
        <v>223</v>
      </c>
      <c r="D61" s="108">
        <v>1540297</v>
      </c>
      <c r="E61" s="108" t="s">
        <v>203</v>
      </c>
      <c r="F61" s="108">
        <v>10</v>
      </c>
      <c r="G61" s="108" t="s">
        <v>204</v>
      </c>
    </row>
    <row r="62" spans="2:7" x14ac:dyDescent="0.2">
      <c r="B62" s="109">
        <v>60</v>
      </c>
      <c r="C62" s="108" t="s">
        <v>224</v>
      </c>
      <c r="D62" s="108">
        <v>1540297</v>
      </c>
      <c r="E62" s="108" t="s">
        <v>203</v>
      </c>
      <c r="F62" s="108">
        <v>10</v>
      </c>
      <c r="G62" s="108" t="s">
        <v>204</v>
      </c>
    </row>
    <row r="63" spans="2:7" x14ac:dyDescent="0.2">
      <c r="B63" s="109">
        <v>61</v>
      </c>
      <c r="C63" s="108" t="s">
        <v>225</v>
      </c>
      <c r="D63" s="108">
        <v>1540297</v>
      </c>
      <c r="E63" s="108" t="s">
        <v>203</v>
      </c>
      <c r="F63" s="108">
        <v>10</v>
      </c>
      <c r="G63" s="108" t="s">
        <v>204</v>
      </c>
    </row>
    <row r="64" spans="2:7" x14ac:dyDescent="0.2">
      <c r="B64" s="109">
        <v>62</v>
      </c>
      <c r="C64" s="108" t="s">
        <v>226</v>
      </c>
      <c r="D64" s="108">
        <v>1540297</v>
      </c>
      <c r="E64" s="108" t="s">
        <v>203</v>
      </c>
      <c r="F64" s="108">
        <v>10</v>
      </c>
      <c r="G64" s="108" t="s">
        <v>204</v>
      </c>
    </row>
    <row r="65" spans="2:7" x14ac:dyDescent="0.2">
      <c r="B65" s="109">
        <v>63</v>
      </c>
      <c r="C65" s="108" t="s">
        <v>227</v>
      </c>
      <c r="D65" s="108">
        <v>1540299</v>
      </c>
      <c r="E65" s="108" t="s">
        <v>228</v>
      </c>
      <c r="F65" s="108">
        <v>11</v>
      </c>
      <c r="G65" s="108" t="s">
        <v>229</v>
      </c>
    </row>
    <row r="66" spans="2:7" x14ac:dyDescent="0.2">
      <c r="B66" s="109">
        <v>64</v>
      </c>
      <c r="C66" s="108" t="s">
        <v>230</v>
      </c>
      <c r="D66" s="108">
        <v>1540299</v>
      </c>
      <c r="E66" s="108" t="s">
        <v>228</v>
      </c>
      <c r="F66" s="108">
        <v>11</v>
      </c>
      <c r="G66" s="108" t="s">
        <v>229</v>
      </c>
    </row>
    <row r="67" spans="2:7" x14ac:dyDescent="0.2">
      <c r="B67" s="109">
        <v>65</v>
      </c>
      <c r="C67" s="108" t="s">
        <v>231</v>
      </c>
      <c r="D67" s="108">
        <v>1540299</v>
      </c>
      <c r="E67" s="108" t="s">
        <v>228</v>
      </c>
      <c r="F67" s="108">
        <v>11</v>
      </c>
      <c r="G67" s="108" t="s">
        <v>229</v>
      </c>
    </row>
    <row r="68" spans="2:7" x14ac:dyDescent="0.2">
      <c r="B68" s="109">
        <v>66</v>
      </c>
      <c r="C68" s="108" t="s">
        <v>232</v>
      </c>
      <c r="D68" s="108">
        <v>1540299</v>
      </c>
      <c r="E68" s="108" t="s">
        <v>228</v>
      </c>
      <c r="F68" s="108">
        <v>11</v>
      </c>
      <c r="G68" s="108" t="s">
        <v>229</v>
      </c>
    </row>
    <row r="69" spans="2:7" x14ac:dyDescent="0.2">
      <c r="B69" s="109">
        <v>67</v>
      </c>
      <c r="C69" s="108" t="s">
        <v>231</v>
      </c>
      <c r="D69" s="108">
        <v>1540299</v>
      </c>
      <c r="E69" s="108" t="s">
        <v>228</v>
      </c>
      <c r="F69" s="108">
        <v>11</v>
      </c>
      <c r="G69" s="108" t="s">
        <v>229</v>
      </c>
    </row>
    <row r="70" spans="2:7" x14ac:dyDescent="0.2">
      <c r="B70" s="109">
        <v>68</v>
      </c>
      <c r="C70" s="108" t="s">
        <v>233</v>
      </c>
      <c r="D70" s="108">
        <v>1540276</v>
      </c>
      <c r="E70" s="108" t="s">
        <v>234</v>
      </c>
      <c r="F70" s="108">
        <v>11</v>
      </c>
      <c r="G70" s="108" t="s">
        <v>229</v>
      </c>
    </row>
    <row r="71" spans="2:7" x14ac:dyDescent="0.2">
      <c r="B71" s="109">
        <v>69</v>
      </c>
      <c r="C71" s="108" t="s">
        <v>235</v>
      </c>
      <c r="D71" s="108">
        <v>1580002</v>
      </c>
      <c r="E71" s="108" t="s">
        <v>236</v>
      </c>
      <c r="F71" s="108">
        <v>11</v>
      </c>
      <c r="G71" s="108" t="s">
        <v>229</v>
      </c>
    </row>
    <row r="72" spans="2:7" x14ac:dyDescent="0.2">
      <c r="B72" s="109">
        <v>70</v>
      </c>
      <c r="C72" s="108" t="s">
        <v>237</v>
      </c>
      <c r="D72" s="108">
        <v>1540276</v>
      </c>
      <c r="E72" s="108" t="s">
        <v>234</v>
      </c>
      <c r="F72" s="108">
        <v>11</v>
      </c>
      <c r="G72" s="108" t="s">
        <v>229</v>
      </c>
    </row>
    <row r="73" spans="2:7" x14ac:dyDescent="0.2">
      <c r="B73" s="109">
        <v>71</v>
      </c>
      <c r="C73" s="108" t="s">
        <v>237</v>
      </c>
      <c r="D73" s="108">
        <v>1580002</v>
      </c>
      <c r="E73" s="108" t="s">
        <v>236</v>
      </c>
      <c r="F73" s="108">
        <v>11</v>
      </c>
      <c r="G73" s="108" t="s">
        <v>229</v>
      </c>
    </row>
    <row r="74" spans="2:7" x14ac:dyDescent="0.2">
      <c r="B74" s="109">
        <v>72</v>
      </c>
      <c r="C74" s="108" t="s">
        <v>238</v>
      </c>
      <c r="D74" s="108">
        <v>1540282</v>
      </c>
      <c r="E74" s="108" t="s">
        <v>239</v>
      </c>
      <c r="F74" s="108">
        <v>11</v>
      </c>
      <c r="G74" s="108" t="s">
        <v>229</v>
      </c>
    </row>
    <row r="75" spans="2:7" x14ac:dyDescent="0.2">
      <c r="B75" s="109">
        <v>73</v>
      </c>
      <c r="C75" s="108" t="s">
        <v>238</v>
      </c>
      <c r="D75" s="108">
        <v>1540307</v>
      </c>
      <c r="E75" s="108" t="s">
        <v>240</v>
      </c>
      <c r="F75" s="108">
        <v>11</v>
      </c>
      <c r="G75" s="108" t="s">
        <v>229</v>
      </c>
    </row>
    <row r="76" spans="2:7" x14ac:dyDescent="0.2">
      <c r="B76" s="109">
        <v>74</v>
      </c>
      <c r="C76" s="108" t="s">
        <v>238</v>
      </c>
      <c r="D76" s="108">
        <v>1540308</v>
      </c>
      <c r="E76" s="108" t="s">
        <v>241</v>
      </c>
      <c r="F76" s="108">
        <v>11</v>
      </c>
      <c r="G76" s="108" t="s">
        <v>229</v>
      </c>
    </row>
    <row r="77" spans="2:7" x14ac:dyDescent="0.2">
      <c r="B77" s="109">
        <v>75</v>
      </c>
      <c r="C77" s="108" t="s">
        <v>242</v>
      </c>
      <c r="D77" s="108">
        <v>1540276</v>
      </c>
      <c r="E77" s="108" t="s">
        <v>234</v>
      </c>
      <c r="F77" s="108">
        <v>11</v>
      </c>
      <c r="G77" s="108" t="s">
        <v>229</v>
      </c>
    </row>
    <row r="78" spans="2:7" x14ac:dyDescent="0.2">
      <c r="B78" s="109">
        <v>76</v>
      </c>
      <c r="C78" s="108" t="s">
        <v>243</v>
      </c>
      <c r="D78" s="108">
        <v>1540282</v>
      </c>
      <c r="E78" s="108" t="s">
        <v>239</v>
      </c>
      <c r="F78" s="108">
        <v>11</v>
      </c>
      <c r="G78" s="108" t="s">
        <v>229</v>
      </c>
    </row>
    <row r="79" spans="2:7" x14ac:dyDescent="0.2">
      <c r="B79" s="109">
        <v>77</v>
      </c>
      <c r="C79" s="108" t="s">
        <v>242</v>
      </c>
      <c r="D79" s="108">
        <v>1540308</v>
      </c>
      <c r="E79" s="108" t="s">
        <v>241</v>
      </c>
      <c r="F79" s="108">
        <v>11</v>
      </c>
      <c r="G79" s="108" t="s">
        <v>229</v>
      </c>
    </row>
    <row r="80" spans="2:7" x14ac:dyDescent="0.2">
      <c r="B80" s="109">
        <v>78</v>
      </c>
      <c r="C80" s="108" t="s">
        <v>242</v>
      </c>
      <c r="D80" s="108">
        <v>1580002</v>
      </c>
      <c r="E80" s="108" t="s">
        <v>236</v>
      </c>
      <c r="F80" s="108">
        <v>11</v>
      </c>
      <c r="G80" s="108" t="s">
        <v>229</v>
      </c>
    </row>
    <row r="81" spans="2:7" x14ac:dyDescent="0.2">
      <c r="B81" s="109">
        <v>79</v>
      </c>
      <c r="C81" s="108" t="s">
        <v>244</v>
      </c>
      <c r="D81" s="108">
        <v>1580002</v>
      </c>
      <c r="E81" s="108" t="s">
        <v>236</v>
      </c>
      <c r="F81" s="108">
        <v>11</v>
      </c>
      <c r="G81" s="108" t="s">
        <v>229</v>
      </c>
    </row>
    <row r="82" spans="2:7" x14ac:dyDescent="0.2">
      <c r="B82" s="109">
        <v>80</v>
      </c>
      <c r="C82" s="108" t="s">
        <v>245</v>
      </c>
      <c r="D82" s="108">
        <v>1540276</v>
      </c>
      <c r="E82" s="108" t="s">
        <v>234</v>
      </c>
      <c r="F82" s="108">
        <v>11</v>
      </c>
      <c r="G82" s="108" t="s">
        <v>229</v>
      </c>
    </row>
    <row r="83" spans="2:7" x14ac:dyDescent="0.2">
      <c r="B83" s="109">
        <v>81</v>
      </c>
      <c r="C83" s="108" t="s">
        <v>246</v>
      </c>
      <c r="D83" s="108">
        <v>1540277</v>
      </c>
      <c r="E83" s="108" t="s">
        <v>247</v>
      </c>
      <c r="F83" s="108">
        <v>11</v>
      </c>
      <c r="G83" s="108" t="s">
        <v>229</v>
      </c>
    </row>
    <row r="84" spans="2:7" x14ac:dyDescent="0.2">
      <c r="B84" s="109">
        <v>82</v>
      </c>
      <c r="C84" s="108" t="s">
        <v>243</v>
      </c>
      <c r="D84" s="108">
        <v>1540282</v>
      </c>
      <c r="E84" s="108" t="s">
        <v>239</v>
      </c>
      <c r="F84" s="108">
        <v>11</v>
      </c>
      <c r="G84" s="108" t="s">
        <v>229</v>
      </c>
    </row>
    <row r="85" spans="2:7" x14ac:dyDescent="0.2">
      <c r="B85" s="109">
        <v>83</v>
      </c>
      <c r="C85" s="108" t="s">
        <v>248</v>
      </c>
      <c r="D85" s="108">
        <v>1540308</v>
      </c>
      <c r="E85" s="108" t="s">
        <v>241</v>
      </c>
      <c r="F85" s="108">
        <v>11</v>
      </c>
      <c r="G85" s="108" t="s">
        <v>229</v>
      </c>
    </row>
    <row r="86" spans="2:7" x14ac:dyDescent="0.2">
      <c r="B86" s="109">
        <v>84</v>
      </c>
      <c r="C86" s="108" t="s">
        <v>249</v>
      </c>
      <c r="D86" s="108">
        <v>1540276</v>
      </c>
      <c r="E86" s="108" t="s">
        <v>234</v>
      </c>
      <c r="F86" s="108">
        <v>11</v>
      </c>
      <c r="G86" s="108" t="s">
        <v>229</v>
      </c>
    </row>
    <row r="87" spans="2:7" x14ac:dyDescent="0.2">
      <c r="B87" s="109">
        <v>85</v>
      </c>
      <c r="C87" s="108" t="s">
        <v>250</v>
      </c>
      <c r="D87" s="108">
        <v>1580002</v>
      </c>
      <c r="E87" s="108" t="s">
        <v>236</v>
      </c>
      <c r="F87" s="108">
        <v>11</v>
      </c>
      <c r="G87" s="108" t="s">
        <v>229</v>
      </c>
    </row>
    <row r="88" spans="2:7" x14ac:dyDescent="0.2">
      <c r="B88" s="109">
        <v>86</v>
      </c>
      <c r="C88" s="108" t="s">
        <v>248</v>
      </c>
      <c r="D88" s="108">
        <v>1540307</v>
      </c>
      <c r="E88" s="108" t="s">
        <v>240</v>
      </c>
      <c r="F88" s="108">
        <v>11</v>
      </c>
      <c r="G88" s="108" t="s">
        <v>229</v>
      </c>
    </row>
    <row r="89" spans="2:7" x14ac:dyDescent="0.2">
      <c r="B89" s="109">
        <v>87</v>
      </c>
      <c r="C89" s="108" t="s">
        <v>251</v>
      </c>
      <c r="D89" s="108">
        <v>1540271</v>
      </c>
      <c r="E89" s="108" t="s">
        <v>252</v>
      </c>
      <c r="F89" s="108">
        <v>11</v>
      </c>
      <c r="G89" s="108" t="s">
        <v>229</v>
      </c>
    </row>
    <row r="90" spans="2:7" x14ac:dyDescent="0.2">
      <c r="B90" s="109">
        <v>88</v>
      </c>
      <c r="C90" s="108" t="s">
        <v>253</v>
      </c>
      <c r="D90" s="108">
        <v>1540271</v>
      </c>
      <c r="E90" s="108" t="s">
        <v>252</v>
      </c>
      <c r="F90" s="108">
        <v>11</v>
      </c>
      <c r="G90" s="108" t="s">
        <v>229</v>
      </c>
    </row>
    <row r="91" spans="2:7" x14ac:dyDescent="0.2">
      <c r="B91" s="109">
        <v>89</v>
      </c>
      <c r="C91" s="108" t="s">
        <v>254</v>
      </c>
      <c r="D91" s="108">
        <v>1540298</v>
      </c>
      <c r="E91" s="108" t="s">
        <v>255</v>
      </c>
      <c r="F91" s="108">
        <v>11</v>
      </c>
      <c r="G91" s="108" t="s">
        <v>229</v>
      </c>
    </row>
    <row r="92" spans="2:7" x14ac:dyDescent="0.2">
      <c r="B92" s="109">
        <v>91</v>
      </c>
      <c r="C92" s="108" t="s">
        <v>257</v>
      </c>
      <c r="D92" s="108">
        <v>1540297</v>
      </c>
      <c r="E92" s="108" t="s">
        <v>203</v>
      </c>
      <c r="F92" s="108">
        <v>10</v>
      </c>
      <c r="G92" s="108" t="s">
        <v>204</v>
      </c>
    </row>
    <row r="93" spans="2:7" x14ac:dyDescent="0.2">
      <c r="B93" s="109">
        <v>92</v>
      </c>
      <c r="C93" s="108" t="s">
        <v>258</v>
      </c>
      <c r="D93" s="108">
        <v>1540297</v>
      </c>
      <c r="E93" s="108" t="s">
        <v>203</v>
      </c>
      <c r="F93" s="108">
        <v>10</v>
      </c>
      <c r="G93" s="108" t="s">
        <v>204</v>
      </c>
    </row>
    <row r="94" spans="2:7" x14ac:dyDescent="0.2">
      <c r="B94" s="109">
        <v>93</v>
      </c>
      <c r="C94" s="108" t="s">
        <v>259</v>
      </c>
      <c r="D94" s="108">
        <v>1540297</v>
      </c>
      <c r="E94" s="108" t="s">
        <v>203</v>
      </c>
      <c r="F94" s="108">
        <v>10</v>
      </c>
      <c r="G94" s="108" t="s">
        <v>204</v>
      </c>
    </row>
    <row r="95" spans="2:7" x14ac:dyDescent="0.2">
      <c r="B95" s="109">
        <v>94</v>
      </c>
      <c r="C95" s="108" t="s">
        <v>260</v>
      </c>
      <c r="D95" s="108">
        <v>1540309</v>
      </c>
      <c r="E95" s="108" t="s">
        <v>180</v>
      </c>
      <c r="F95" s="108">
        <v>2</v>
      </c>
      <c r="G95" s="108" t="s">
        <v>180</v>
      </c>
    </row>
    <row r="96" spans="2:7" x14ac:dyDescent="0.2">
      <c r="B96" s="109">
        <v>95</v>
      </c>
      <c r="C96" s="108" t="s">
        <v>261</v>
      </c>
      <c r="D96" s="108">
        <v>1580001</v>
      </c>
      <c r="E96" s="108" t="s">
        <v>180</v>
      </c>
      <c r="F96" s="108">
        <v>2</v>
      </c>
      <c r="G96" s="108" t="s">
        <v>180</v>
      </c>
    </row>
    <row r="97" spans="2:7" x14ac:dyDescent="0.2">
      <c r="B97" s="109">
        <v>96</v>
      </c>
      <c r="C97" s="108" t="s">
        <v>263</v>
      </c>
      <c r="D97" s="108">
        <v>1540310</v>
      </c>
      <c r="E97" s="108" t="s">
        <v>262</v>
      </c>
      <c r="F97" s="108">
        <v>7</v>
      </c>
      <c r="G97" s="108" t="s">
        <v>264</v>
      </c>
    </row>
  </sheetData>
  <autoFilter ref="B2:G2" xr:uid="{995919C0-4637-4A20-AC00-02A9274D2ACE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SCA</vt:lpstr>
      <vt:lpstr>DEPTO (Pesquisável)</vt:lpstr>
      <vt:lpstr>SCA!Area_de_impressao</vt:lpstr>
    </vt:vector>
  </TitlesOfParts>
  <Manager>José Hamilton Motta</Manager>
  <Company>SERVENG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 Serveng</dc:title>
  <dc:creator>Flávio Márcio de Cerqueira</dc:creator>
  <cp:lastModifiedBy>Douglas Aldair Borges de Brito</cp:lastModifiedBy>
  <cp:lastPrinted>2019-08-02T14:50:59Z</cp:lastPrinted>
  <dcterms:created xsi:type="dcterms:W3CDTF">2001-10-22T20:34:50Z</dcterms:created>
  <dcterms:modified xsi:type="dcterms:W3CDTF">2026-03-30T12:32:09Z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rietário">
    <vt:lpwstr>R$ 450,00</vt:lpwstr>
  </property>
</Properties>
</file>